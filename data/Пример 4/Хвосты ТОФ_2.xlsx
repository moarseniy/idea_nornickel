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imovAS\Downloads\ДТИ\Хакатон\"/>
    </mc:Choice>
  </mc:AlternateContent>
  <bookViews>
    <workbookView xWindow="0" yWindow="0" windowWidth="28800" windowHeight="11930" tabRatio="648"/>
  </bookViews>
  <sheets>
    <sheet name="Итог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<sst xmlns="http://schemas.openxmlformats.org/spreadsheetml/2006/main" count="309" uniqueCount="58">
  <si>
    <t>Итого</t>
  </si>
  <si>
    <t>Миллерит</t>
  </si>
  <si>
    <t>Пирит</t>
  </si>
  <si>
    <t>Отвальные хвосты</t>
  </si>
  <si>
    <t>+125</t>
  </si>
  <si>
    <t>-10</t>
  </si>
  <si>
    <t>Материал</t>
  </si>
  <si>
    <t>СМТ</t>
  </si>
  <si>
    <t>Поступило в переработку</t>
  </si>
  <si>
    <t>Шихта руд</t>
  </si>
  <si>
    <t xml:space="preserve">Материал пруда - накопителя </t>
  </si>
  <si>
    <t>Хвосты породные</t>
  </si>
  <si>
    <t>Класс крупности, мкм</t>
  </si>
  <si>
    <t>Доля класса, %</t>
  </si>
  <si>
    <t>-125 +71</t>
  </si>
  <si>
    <t>-71 + 45</t>
  </si>
  <si>
    <t>-45 + 20</t>
  </si>
  <si>
    <t xml:space="preserve"> -20 + 10</t>
  </si>
  <si>
    <t>Итого (проверка)</t>
  </si>
  <si>
    <t>+125 мкм</t>
  </si>
  <si>
    <t>Раскрытый Pnt/Cp</t>
  </si>
  <si>
    <t>Закрытый Pnt/Cp</t>
  </si>
  <si>
    <t xml:space="preserve">Примесь в пирротине </t>
  </si>
  <si>
    <t>Силикатная форма/Валлериит</t>
  </si>
  <si>
    <t>Потери (расписать)</t>
  </si>
  <si>
    <t>Свободный слот</t>
  </si>
  <si>
    <t>Извлекаемый металл</t>
  </si>
  <si>
    <t>Не извлекаемый металл</t>
  </si>
  <si>
    <t xml:space="preserve"> -125 +71 мкм</t>
  </si>
  <si>
    <t>-71 + 45 мкм</t>
  </si>
  <si>
    <t>-45 + 20 мкм</t>
  </si>
  <si>
    <t>-20 + 10 мкм</t>
  </si>
  <si>
    <t>-10 мкм</t>
  </si>
  <si>
    <t>Итого извлекаемый металл</t>
  </si>
  <si>
    <t>Итого не извлекаемый металл</t>
  </si>
  <si>
    <t>Доля пирротиновых хвостов в отвальных</t>
  </si>
  <si>
    <t>Хвосты пирротиновые</t>
  </si>
  <si>
    <t xml:space="preserve"> +71</t>
  </si>
  <si>
    <t xml:space="preserve"> -71 +45</t>
  </si>
  <si>
    <t>-45 +20</t>
  </si>
  <si>
    <t xml:space="preserve"> -20 +10</t>
  </si>
  <si>
    <t>+71 мкм</t>
  </si>
  <si>
    <t>-71 +45 мкм</t>
  </si>
  <si>
    <t>-45 +20 мкм</t>
  </si>
  <si>
    <t>-20 +10 мкм</t>
  </si>
  <si>
    <t xml:space="preserve">отвальные хвосты общие </t>
  </si>
  <si>
    <t>Хвосты отвальные</t>
  </si>
  <si>
    <t>Факт</t>
  </si>
  <si>
    <t xml:space="preserve">Расчёт </t>
  </si>
  <si>
    <t>Доля породных хвостов в отвальных (факт)</t>
  </si>
  <si>
    <t>Элемент 28, %</t>
  </si>
  <si>
    <t>Элемент 28, т</t>
  </si>
  <si>
    <t>Доля Элемент 28, %</t>
  </si>
  <si>
    <t>Доля потерь Элемент 28, %</t>
  </si>
  <si>
    <t>Элемент 29, %</t>
  </si>
  <si>
    <t>Элемент 29, т</t>
  </si>
  <si>
    <t>Доля Элемент 29, %</t>
  </si>
  <si>
    <t>Доля потерь Элемент 29,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</si>
</sst>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0"/>
      <color theme="8" tint="-0.499984740745262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FF0000"/>
      <name val="Tahoma"/>
      <family val="2"/>
      <charset val="204"/>
    </font>
    <font>
      <sz val="11"/>
      <color theme="1"/>
      <name val="Calibri"/>
      <family val="2"/>
      <scheme val="minor"/>
    </font>
    <font>
      <b/>
      <sz val="14"/>
      <name val="Tahoma"/>
      <family val="2"/>
      <charset val="204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  <charset val="204"/>
      <scheme val="minor"/>
    </font>
    <font>
      <b/>
      <sz val="12"/>
      <color rgb="FF7030A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8C5FF"/>
        <bgColor indexed="64"/>
      </patternFill>
    </fill>
    <fill>
      <patternFill patternType="solid">
        <fgColor rgb="FFFF2F2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1" fillId="0" borderId="0"/>
    <xf numFmtId="9" fontId="9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0" fillId="4" borderId="0" xfId="0" applyFill="1"/>
    <xf numFmtId="4" fontId="3" fillId="5" borderId="1" xfId="0" applyNumberFormat="1" applyFont="1" applyFill="1" applyBorder="1"/>
    <xf numFmtId="4" fontId="3" fillId="4" borderId="0" xfId="0" applyNumberFormat="1" applyFont="1" applyFill="1"/>
    <xf numFmtId="0" fontId="6" fillId="4" borderId="0" xfId="0" applyFont="1" applyFill="1"/>
    <xf numFmtId="0" fontId="0" fillId="4" borderId="0" xfId="0" applyFill="1" applyBorder="1"/>
    <xf numFmtId="0" fontId="2" fillId="4" borderId="0" xfId="0" applyFont="1" applyFill="1" applyBorder="1" applyAlignment="1">
      <alignment horizontal="center"/>
    </xf>
    <xf numFmtId="2" fontId="0" fillId="4" borderId="0" xfId="0" applyNumberFormat="1" applyFill="1" applyBorder="1" applyAlignment="1">
      <alignment horizontal="center" vertical="center"/>
    </xf>
    <xf numFmtId="2" fontId="7" fillId="4" borderId="0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7" fillId="4" borderId="0" xfId="0" applyFont="1" applyFill="1"/>
    <xf numFmtId="0" fontId="0" fillId="7" borderId="0" xfId="0" applyFill="1"/>
    <xf numFmtId="2" fontId="0" fillId="4" borderId="0" xfId="0" applyNumberFormat="1" applyFill="1"/>
    <xf numFmtId="0" fontId="13" fillId="4" borderId="0" xfId="0" applyFont="1" applyFill="1"/>
    <xf numFmtId="0" fontId="14" fillId="3" borderId="2" xfId="0" applyFont="1" applyFill="1" applyBorder="1"/>
    <xf numFmtId="0" fontId="14" fillId="4" borderId="0" xfId="0" applyFont="1" applyFill="1"/>
    <xf numFmtId="0" fontId="12" fillId="4" borderId="1" xfId="0" applyFont="1" applyFill="1" applyBorder="1"/>
    <xf numFmtId="0" fontId="12" fillId="4" borderId="0" xfId="0" applyFont="1" applyFill="1"/>
    <xf numFmtId="0" fontId="13" fillId="4" borderId="2" xfId="0" applyFont="1" applyFill="1" applyBorder="1"/>
    <xf numFmtId="0" fontId="18" fillId="6" borderId="1" xfId="0" applyFont="1" applyFill="1" applyBorder="1"/>
    <xf numFmtId="0" fontId="14" fillId="3" borderId="1" xfId="0" applyFont="1" applyFill="1" applyBorder="1"/>
    <xf numFmtId="49" fontId="13" fillId="4" borderId="1" xfId="0" applyNumberFormat="1" applyFont="1" applyFill="1" applyBorder="1" applyAlignment="1">
      <alignment horizontal="center"/>
    </xf>
    <xf numFmtId="49" fontId="13" fillId="4" borderId="1" xfId="0" quotePrefix="1" applyNumberFormat="1" applyFont="1" applyFill="1" applyBorder="1" applyAlignment="1">
      <alignment horizontal="center" vertical="center"/>
    </xf>
    <xf numFmtId="0" fontId="13" fillId="4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/>
    <xf numFmtId="49" fontId="14" fillId="3" borderId="2" xfId="0" quotePrefix="1" applyNumberFormat="1" applyFont="1" applyFill="1" applyBorder="1" applyAlignment="1">
      <alignment horizontal="center"/>
    </xf>
    <xf numFmtId="0" fontId="14" fillId="3" borderId="2" xfId="0" quotePrefix="1" applyFont="1" applyFill="1" applyBorder="1" applyAlignment="1">
      <alignment horizontal="center" vertical="center"/>
    </xf>
    <xf numFmtId="0" fontId="14" fillId="3" borderId="2" xfId="0" quotePrefix="1" applyFont="1" applyFill="1" applyBorder="1" applyAlignment="1">
      <alignment horizontal="center"/>
    </xf>
    <xf numFmtId="0" fontId="13" fillId="4" borderId="0" xfId="0" applyFont="1" applyFill="1" applyBorder="1"/>
    <xf numFmtId="0" fontId="13" fillId="7" borderId="0" xfId="0" applyFont="1" applyFill="1"/>
    <xf numFmtId="49" fontId="14" fillId="3" borderId="2" xfId="0" quotePrefix="1" applyNumberFormat="1" applyFont="1" applyFill="1" applyBorder="1" applyAlignment="1">
      <alignment horizontal="center" vertical="center"/>
    </xf>
    <xf numFmtId="0" fontId="14" fillId="3" borderId="2" xfId="0" quotePrefix="1" applyFont="1" applyFill="1" applyBorder="1"/>
    <xf numFmtId="0" fontId="10" fillId="4" borderId="0" xfId="0" applyFont="1" applyFill="1"/>
    <xf numFmtId="0" fontId="15" fillId="4" borderId="0" xfId="0" applyFont="1" applyFill="1" applyAlignment="1">
      <alignment horizontal="left"/>
    </xf>
    <xf numFmtId="4" fontId="19" fillId="4" borderId="0" xfId="0" applyNumberFormat="1" applyFont="1" applyFill="1" applyAlignment="1">
      <alignment horizontal="center" vertical="center"/>
    </xf>
    <xf numFmtId="4" fontId="4" fillId="4" borderId="0" xfId="0" applyNumberFormat="1" applyFont="1" applyFill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left" vertical="center"/>
    </xf>
    <xf numFmtId="0" fontId="17" fillId="4" borderId="0" xfId="0" applyFont="1" applyFill="1" applyBorder="1" applyAlignment="1">
      <alignment horizontal="center" vertical="center" wrapText="1"/>
    </xf>
    <xf numFmtId="49" fontId="13" fillId="8" borderId="1" xfId="0" applyNumberFormat="1" applyFont="1" applyFill="1" applyBorder="1" applyAlignment="1">
      <alignment horizontal="center"/>
    </xf>
    <xf numFmtId="49" fontId="13" fillId="8" borderId="1" xfId="0" quotePrefix="1" applyNumberFormat="1" applyFont="1" applyFill="1" applyBorder="1" applyAlignment="1">
      <alignment horizontal="center" vertical="center"/>
    </xf>
    <xf numFmtId="0" fontId="13" fillId="9" borderId="1" xfId="0" quotePrefix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4" fontId="0" fillId="4" borderId="0" xfId="0" applyNumberFormat="1" applyFill="1"/>
    <xf numFmtId="4" fontId="2" fillId="3" borderId="2" xfId="0" applyNumberFormat="1" applyFont="1" applyFill="1" applyBorder="1" applyAlignment="1">
      <alignment horizontal="center"/>
    </xf>
    <xf numFmtId="4" fontId="3" fillId="2" borderId="1" xfId="0" applyNumberFormat="1" applyFont="1" applyFill="1" applyBorder="1"/>
    <xf numFmtId="4" fontId="4" fillId="4" borderId="1" xfId="0" applyNumberFormat="1" applyFont="1" applyFill="1" applyBorder="1" applyAlignment="1">
      <alignment horizontal="center" vertical="center"/>
    </xf>
    <xf numFmtId="4" fontId="4" fillId="4" borderId="0" xfId="0" applyNumberFormat="1" applyFont="1" applyFill="1" applyBorder="1" applyAlignment="1">
      <alignment horizontal="center" vertical="center"/>
    </xf>
    <xf numFmtId="4" fontId="4" fillId="4" borderId="0" xfId="0" applyNumberFormat="1" applyFont="1" applyFill="1" applyBorder="1" applyAlignment="1">
      <alignment horizontal="center"/>
    </xf>
    <xf numFmtId="4" fontId="0" fillId="4" borderId="2" xfId="0" applyNumberFormat="1" applyFill="1" applyBorder="1"/>
    <xf numFmtId="4" fontId="6" fillId="4" borderId="3" xfId="0" applyNumberFormat="1" applyFont="1" applyFill="1" applyBorder="1" applyAlignment="1">
      <alignment horizontal="left" vertical="center"/>
    </xf>
    <xf numFmtId="4" fontId="0" fillId="6" borderId="0" xfId="0" applyNumberFormat="1" applyFill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4" fontId="0" fillId="0" borderId="0" xfId="0" applyNumberFormat="1" applyFill="1"/>
    <xf numFmtId="4" fontId="2" fillId="3" borderId="1" xfId="0" applyNumberFormat="1" applyFont="1" applyFill="1" applyBorder="1" applyAlignment="1">
      <alignment horizontal="center"/>
    </xf>
    <xf numFmtId="4" fontId="0" fillId="5" borderId="1" xfId="0" applyNumberForma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4" fontId="2" fillId="3" borderId="2" xfId="0" applyNumberFormat="1" applyFont="1" applyFill="1" applyBorder="1"/>
    <xf numFmtId="4" fontId="0" fillId="4" borderId="0" xfId="0" applyNumberFormat="1" applyFill="1" applyAlignment="1">
      <alignment horizontal="center" vertical="center"/>
    </xf>
    <xf numFmtId="4" fontId="0" fillId="2" borderId="1" xfId="0" applyNumberFormat="1" applyFill="1" applyBorder="1" applyAlignment="1">
      <alignment horizontal="center"/>
    </xf>
    <xf numFmtId="4" fontId="0" fillId="2" borderId="1" xfId="0" applyNumberFormat="1" applyFill="1" applyBorder="1"/>
    <xf numFmtId="4" fontId="0" fillId="4" borderId="1" xfId="0" applyNumberFormat="1" applyFill="1" applyBorder="1"/>
    <xf numFmtId="4" fontId="0" fillId="4" borderId="1" xfId="0" applyNumberFormat="1" applyFill="1" applyBorder="1" applyAlignment="1">
      <alignment horizontal="center"/>
    </xf>
    <xf numFmtId="4" fontId="0" fillId="7" borderId="0" xfId="0" applyNumberFormat="1" applyFill="1"/>
    <xf numFmtId="4" fontId="6" fillId="4" borderId="0" xfId="0" applyNumberFormat="1" applyFont="1" applyFill="1"/>
    <xf numFmtId="4" fontId="0" fillId="0" borderId="0" xfId="0" applyNumberFormat="1" applyFill="1" applyAlignment="1">
      <alignment horizontal="center" vertical="center"/>
    </xf>
  </cellXfs>
  <cellStyles count="5">
    <cellStyle name="Normal" xfId="2"/>
    <cellStyle name="Обычный" xfId="0" builtinId="0"/>
    <cellStyle name="Обычный 2" xfId="1"/>
    <cellStyle name="Обычный 2 2" xfId="4"/>
    <cellStyle name="Процентный 2" xfId="3"/>
  </cellStyles>
  <dxfs count="2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"/>
  <sheetViews>
    <sheetView tabSelected="1" zoomScale="66" workbookViewId="0">
      <selection activeCell="J7" sqref="J7"/>
    </sheetView>
  </sheetViews>
  <sheetFormatPr defaultColWidth="9.1796875" defaultRowHeight="14.5" x14ac:dyDescent="0.35"/>
  <cols>
    <col min="1" max="1" width="1.7265625" style="1" customWidth="1"/>
    <col min="2" max="2" width="43.81640625" style="13" bestFit="1" customWidth="1"/>
    <col min="3" max="3" width="14.1796875" style="44" bestFit="1" customWidth="1"/>
    <col min="4" max="4" width="25.7265625" style="44" bestFit="1" customWidth="1"/>
    <col min="5" max="5" width="13" style="44" bestFit="1" customWidth="1"/>
    <col min="6" max="6" width="25.7265625" style="44" bestFit="1" customWidth="1"/>
    <col min="7" max="7" width="13" style="44" customWidth="1"/>
    <col min="8" max="8" width="9.1796875" style="1"/>
    <col min="9" max="9" width="8.08984375" style="1" customWidth="1"/>
    <col min="10" max="10" width="10.1796875" style="1" bestFit="1" customWidth="1"/>
    <col min="11" max="11" width="9.1796875" style="1"/>
    <col min="12" max="12" width="9.54296875" style="1" bestFit="1" customWidth="1"/>
    <col min="13" max="16384" width="9.1796875" style="1"/>
  </cols>
  <sheetData>
    <row r="1" spans="2:9" ht="5.15" customHeight="1" x14ac:dyDescent="0.35"/>
    <row r="2" spans="2:9" ht="15" customHeight="1" thickBot="1" x14ac:dyDescent="0.4">
      <c r="B2" s="14" t="s">
        <v>6</v>
      </c>
      <c r="C2" s="45" t="s">
        <v>7</v>
      </c>
      <c r="D2" s="45" t="s">
        <v>50</v>
      </c>
      <c r="E2" s="45" t="s">
        <v>51</v>
      </c>
      <c r="F2" s="45" t="s">
        <v>54</v>
      </c>
      <c r="G2" s="45" t="s">
        <v>55</v>
      </c>
    </row>
    <row r="3" spans="2:9" ht="15" customHeight="1" x14ac:dyDescent="0.35">
      <c r="B3" s="15" t="s">
        <v>8</v>
      </c>
    </row>
    <row r="4" spans="2:9" ht="15" customHeight="1" x14ac:dyDescent="0.35">
      <c r="B4" s="16" t="s">
        <v>9</v>
      </c>
      <c r="C4" s="2">
        <v>11392566</v>
      </c>
      <c r="D4" s="46">
        <v>1.6794363973840483</v>
      </c>
      <c r="E4" s="2">
        <v>191330.9</v>
      </c>
      <c r="F4" s="46">
        <v>2.7045109942746874</v>
      </c>
      <c r="G4" s="2">
        <v>308113.2</v>
      </c>
    </row>
    <row r="5" spans="2:9" ht="15" customHeight="1" x14ac:dyDescent="0.35">
      <c r="B5" s="16" t="s">
        <v>10</v>
      </c>
      <c r="C5" s="2">
        <v>136667</v>
      </c>
      <c r="D5" s="46">
        <v>1.0468511052412068</v>
      </c>
      <c r="E5" s="2">
        <v>1430.7</v>
      </c>
      <c r="F5" s="46">
        <v>1.6529959683025162</v>
      </c>
      <c r="G5" s="2">
        <v>2259.1</v>
      </c>
    </row>
    <row r="6" spans="2:9" ht="15" customHeight="1" x14ac:dyDescent="0.35">
      <c r="B6" s="16" t="s">
        <v>0</v>
      </c>
      <c r="C6" s="2">
        <v>11529233</v>
      </c>
      <c r="D6" s="46">
        <v>1.6719377603002732</v>
      </c>
      <c r="E6" s="2">
        <v>192761.60000000001</v>
      </c>
      <c r="F6" s="46">
        <v>2.6920463833110144</v>
      </c>
      <c r="G6" s="2">
        <v>310372.3</v>
      </c>
    </row>
    <row r="7" spans="2:9" ht="5.15" customHeight="1" x14ac:dyDescent="0.35">
      <c r="B7" s="17"/>
      <c r="C7" s="3"/>
      <c r="D7" s="3"/>
      <c r="E7" s="3"/>
      <c r="F7" s="3"/>
      <c r="G7" s="3"/>
    </row>
    <row r="8" spans="2:9" ht="15" customHeight="1" x14ac:dyDescent="0.35">
      <c r="B8" s="34" t="s">
        <v>47</v>
      </c>
      <c r="C8" s="3"/>
      <c r="D8" s="3"/>
      <c r="E8" s="3"/>
      <c r="F8" s="3"/>
      <c r="G8" s="3"/>
    </row>
    <row r="9" spans="2:9" ht="15" customHeight="1" x14ac:dyDescent="0.35">
      <c r="B9" s="37" t="s">
        <v>3</v>
      </c>
      <c r="C9" s="47">
        <v>7823455</v>
      </c>
      <c r="D9" s="47">
        <v>0.3</v>
      </c>
      <c r="E9" s="47">
        <v>23756.400000000001</v>
      </c>
      <c r="F9" s="47">
        <v>8.912558454033416E-2</v>
      </c>
      <c r="G9" s="47">
        <v>6972.7</v>
      </c>
    </row>
    <row r="10" spans="2:9" ht="5.15" customHeight="1" x14ac:dyDescent="0.5">
      <c r="B10" s="33"/>
      <c r="D10" s="35"/>
      <c r="E10" s="35"/>
      <c r="F10" s="35"/>
      <c r="G10" s="35"/>
      <c r="I10" s="34"/>
    </row>
    <row r="11" spans="2:9" ht="15" customHeight="1" x14ac:dyDescent="0.35">
      <c r="B11" s="34" t="s">
        <v>48</v>
      </c>
      <c r="C11" s="35"/>
      <c r="D11" s="35"/>
      <c r="E11" s="35"/>
      <c r="F11" s="35"/>
      <c r="G11" s="35"/>
    </row>
    <row r="12" spans="2:9" ht="15.5" x14ac:dyDescent="0.35">
      <c r="B12" s="36" t="s">
        <v>3</v>
      </c>
      <c r="C12" s="47">
        <v>7823455</v>
      </c>
      <c r="D12" s="47">
        <v>0.28650701445959448</v>
      </c>
      <c r="E12" s="47">
        <v>22414.747348089866</v>
      </c>
      <c r="F12" s="47">
        <v>8.4999999999999992E-2</v>
      </c>
      <c r="G12" s="47">
        <v>6649.9367499999989</v>
      </c>
    </row>
    <row r="13" spans="2:9" ht="5.15" customHeight="1" x14ac:dyDescent="0.35">
      <c r="B13" s="39"/>
      <c r="C13" s="48"/>
      <c r="D13" s="48"/>
      <c r="E13" s="48"/>
      <c r="F13" s="48"/>
      <c r="G13" s="48"/>
    </row>
    <row r="14" spans="2:9" ht="15.5" x14ac:dyDescent="0.35">
      <c r="B14" s="38" t="s">
        <v>11</v>
      </c>
      <c r="C14" s="49">
        <v>4251741.1387657756</v>
      </c>
      <c r="D14" s="49"/>
      <c r="E14" s="49"/>
      <c r="F14" s="49"/>
      <c r="G14" s="49"/>
    </row>
    <row r="15" spans="2:9" ht="15.5" x14ac:dyDescent="0.35">
      <c r="B15" s="38" t="s">
        <v>36</v>
      </c>
      <c r="C15" s="49">
        <v>3571713.8612342244</v>
      </c>
      <c r="D15" s="49"/>
      <c r="E15" s="49"/>
      <c r="F15" s="49"/>
      <c r="G15" s="49"/>
    </row>
    <row r="16" spans="2:9" ht="5.15" customHeight="1" thickBot="1" x14ac:dyDescent="0.4">
      <c r="B16" s="18"/>
      <c r="C16" s="50"/>
      <c r="D16" s="50"/>
      <c r="E16" s="50"/>
      <c r="F16" s="50"/>
      <c r="G16" s="50"/>
    </row>
    <row r="17" spans="2:14" ht="18.75" customHeight="1" x14ac:dyDescent="0.35">
      <c r="B17" s="43" t="s">
        <v>49</v>
      </c>
      <c r="C17" s="51"/>
      <c r="D17" s="51"/>
      <c r="E17" s="51"/>
      <c r="F17" s="52">
        <v>54.346080328522056</v>
      </c>
    </row>
    <row r="18" spans="2:14" ht="15.5" x14ac:dyDescent="0.35">
      <c r="B18" s="19" t="s">
        <v>11</v>
      </c>
      <c r="C18" s="53">
        <v>4251741.1387657756</v>
      </c>
      <c r="D18" s="53">
        <v>0.11</v>
      </c>
      <c r="E18" s="53">
        <v>4676.9152526423532</v>
      </c>
      <c r="F18" s="53">
        <v>8.4999999999999992E-2</v>
      </c>
      <c r="G18" s="53">
        <v>3613.9799679509092</v>
      </c>
    </row>
    <row r="19" spans="2:14" x14ac:dyDescent="0.35">
      <c r="E19" s="54"/>
      <c r="F19" s="54"/>
      <c r="G19" s="54"/>
      <c r="I19" s="5"/>
      <c r="J19" s="5"/>
      <c r="K19" s="5"/>
      <c r="L19" s="5"/>
      <c r="M19" s="5"/>
      <c r="N19" s="5"/>
    </row>
    <row r="20" spans="2:14" x14ac:dyDescent="0.35">
      <c r="B20" s="20" t="s">
        <v>12</v>
      </c>
      <c r="C20" s="55" t="s">
        <v>13</v>
      </c>
      <c r="D20" s="55" t="s">
        <v>52</v>
      </c>
      <c r="E20" s="55" t="s">
        <v>51</v>
      </c>
      <c r="F20" s="55" t="s">
        <v>56</v>
      </c>
      <c r="G20" s="55" t="s">
        <v>55</v>
      </c>
      <c r="I20" s="5"/>
      <c r="J20" s="6"/>
      <c r="K20" s="6"/>
      <c r="L20" s="5"/>
      <c r="M20" s="5"/>
      <c r="N20" s="5"/>
    </row>
    <row r="21" spans="2:14" ht="5.15" customHeight="1" x14ac:dyDescent="0.35">
      <c r="I21" s="5"/>
      <c r="J21" s="5"/>
      <c r="K21" s="5"/>
      <c r="L21" s="5"/>
      <c r="M21" s="5"/>
      <c r="N21" s="5"/>
    </row>
    <row r="22" spans="2:14" ht="12.75" customHeight="1" x14ac:dyDescent="0.35">
      <c r="B22" s="40" t="s">
        <v>4</v>
      </c>
      <c r="C22" s="56">
        <v>20.037777777777777</v>
      </c>
      <c r="D22" s="56">
        <v>21.19383204482801</v>
      </c>
      <c r="E22" s="57">
        <v>991.21756352396392</v>
      </c>
      <c r="F22" s="56">
        <v>36.473739506156306</v>
      </c>
      <c r="G22" s="57">
        <v>1318.1536393150857</v>
      </c>
      <c r="I22" s="5"/>
      <c r="J22" s="7"/>
      <c r="K22" s="7"/>
      <c r="L22" s="5"/>
      <c r="M22" s="5"/>
      <c r="N22" s="5"/>
    </row>
    <row r="23" spans="2:14" x14ac:dyDescent="0.35">
      <c r="B23" s="41" t="s">
        <v>14</v>
      </c>
      <c r="C23" s="56">
        <v>27.582222222222224</v>
      </c>
      <c r="D23" s="56">
        <v>30.80035495916567</v>
      </c>
      <c r="E23" s="57">
        <v>1440.5064989532048</v>
      </c>
      <c r="F23" s="56">
        <v>20.220147859681724</v>
      </c>
      <c r="G23" s="57">
        <v>730.75209313895209</v>
      </c>
      <c r="I23" s="5"/>
      <c r="J23" s="7"/>
      <c r="K23" s="7"/>
      <c r="L23" s="5"/>
      <c r="M23" s="5"/>
      <c r="N23" s="5"/>
    </row>
    <row r="24" spans="2:14" x14ac:dyDescent="0.35">
      <c r="B24" s="23" t="s">
        <v>15</v>
      </c>
      <c r="C24" s="56">
        <v>16.777777777777779</v>
      </c>
      <c r="D24" s="56">
        <v>10.726125674916963</v>
      </c>
      <c r="E24" s="57">
        <v>501.65180770777897</v>
      </c>
      <c r="F24" s="56">
        <v>8.0546257347302408</v>
      </c>
      <c r="G24" s="57">
        <v>291.09256054656964</v>
      </c>
      <c r="I24" s="5"/>
      <c r="J24" s="8"/>
      <c r="K24" s="8"/>
      <c r="L24" s="9"/>
      <c r="M24" s="5"/>
      <c r="N24" s="5"/>
    </row>
    <row r="25" spans="2:14" x14ac:dyDescent="0.35">
      <c r="B25" s="23" t="s">
        <v>16</v>
      </c>
      <c r="C25" s="56">
        <v>12.635555555555555</v>
      </c>
      <c r="D25" s="56">
        <v>7.3016371682114594</v>
      </c>
      <c r="E25" s="57">
        <v>341.49138241268497</v>
      </c>
      <c r="F25" s="56">
        <v>6.7593711553331364</v>
      </c>
      <c r="G25" s="57">
        <v>244.28231951319151</v>
      </c>
      <c r="I25" s="5"/>
      <c r="J25" s="5"/>
      <c r="K25" s="5"/>
      <c r="L25" s="5"/>
      <c r="M25" s="5"/>
      <c r="N25" s="5"/>
    </row>
    <row r="26" spans="2:14" x14ac:dyDescent="0.35">
      <c r="B26" s="42" t="s">
        <v>17</v>
      </c>
      <c r="C26" s="56">
        <v>6.1644444444444444</v>
      </c>
      <c r="D26" s="56">
        <v>3.1831375213648037</v>
      </c>
      <c r="E26" s="57">
        <v>148.87264424929225</v>
      </c>
      <c r="F26" s="56">
        <v>4.0565955702655465</v>
      </c>
      <c r="G26" s="57">
        <v>146.60455129018078</v>
      </c>
      <c r="I26" s="5"/>
      <c r="J26" s="5"/>
      <c r="K26" s="5"/>
      <c r="L26" s="5"/>
      <c r="M26" s="5"/>
      <c r="N26" s="5"/>
    </row>
    <row r="27" spans="2:14" x14ac:dyDescent="0.35">
      <c r="B27" s="42" t="s">
        <v>5</v>
      </c>
      <c r="C27" s="56">
        <v>16.802222222222223</v>
      </c>
      <c r="D27" s="56">
        <v>26.794912631513096</v>
      </c>
      <c r="E27" s="57">
        <v>1253.1753557954285</v>
      </c>
      <c r="F27" s="56">
        <v>24.435520173833048</v>
      </c>
      <c r="G27" s="57">
        <v>883.0948041469295</v>
      </c>
      <c r="I27" s="5"/>
      <c r="J27" s="5"/>
      <c r="K27" s="5"/>
      <c r="L27" s="5"/>
      <c r="M27" s="5"/>
      <c r="N27" s="5"/>
    </row>
    <row r="28" spans="2:14" x14ac:dyDescent="0.35">
      <c r="B28" s="24" t="s">
        <v>18</v>
      </c>
      <c r="C28" s="53">
        <v>100</v>
      </c>
      <c r="D28" s="53">
        <v>100</v>
      </c>
      <c r="E28" s="53">
        <v>4676.9152526423532</v>
      </c>
      <c r="F28" s="53">
        <v>100</v>
      </c>
      <c r="G28" s="53">
        <v>3613.9799679509092</v>
      </c>
    </row>
    <row r="29" spans="2:14" ht="5.15" customHeight="1" x14ac:dyDescent="0.35">
      <c r="B29" s="28"/>
    </row>
    <row r="30" spans="2:14" ht="15" thickBot="1" x14ac:dyDescent="0.4">
      <c r="B30" s="25" t="s">
        <v>19</v>
      </c>
      <c r="D30" s="58" t="s">
        <v>53</v>
      </c>
      <c r="E30" s="45" t="s">
        <v>51</v>
      </c>
      <c r="F30" s="58" t="s">
        <v>57</v>
      </c>
      <c r="G30" s="45" t="s">
        <v>55</v>
      </c>
    </row>
    <row r="31" spans="2:14" ht="9" customHeight="1" x14ac:dyDescent="0.35"/>
    <row r="32" spans="2:14" x14ac:dyDescent="0.35">
      <c r="B32" s="24" t="s">
        <v>20</v>
      </c>
      <c r="D32" s="56">
        <v>9.8040047790909082</v>
      </c>
      <c r="E32" s="57">
        <v>97.179017299077884</v>
      </c>
      <c r="F32" s="56">
        <v>59.029568999999995</v>
      </c>
      <c r="G32" s="57">
        <v>778.10041204550953</v>
      </c>
    </row>
    <row r="33" spans="2:8" x14ac:dyDescent="0.35">
      <c r="B33" s="24" t="s">
        <v>21</v>
      </c>
      <c r="D33" s="56">
        <v>66.927588438802303</v>
      </c>
      <c r="E33" s="57">
        <v>663.39801144844239</v>
      </c>
      <c r="F33" s="56">
        <v>31.168430999999998</v>
      </c>
      <c r="G33" s="57">
        <v>410.8478075439113</v>
      </c>
    </row>
    <row r="34" spans="2:8" x14ac:dyDescent="0.35">
      <c r="B34" s="24" t="s">
        <v>22</v>
      </c>
      <c r="D34" s="56">
        <v>15.86965476190476</v>
      </c>
      <c r="E34" s="57">
        <v>157.30280527061709</v>
      </c>
      <c r="F34" s="56"/>
      <c r="G34" s="57"/>
    </row>
    <row r="35" spans="2:8" x14ac:dyDescent="0.35">
      <c r="B35" s="24" t="s">
        <v>23</v>
      </c>
      <c r="D35" s="56">
        <v>7.0346320346320397</v>
      </c>
      <c r="E35" s="57">
        <v>69.728508256555955</v>
      </c>
      <c r="F35" s="56">
        <v>9.8019999999999996</v>
      </c>
      <c r="G35" s="57">
        <v>129.20541972566468</v>
      </c>
    </row>
    <row r="36" spans="2:8" x14ac:dyDescent="0.35">
      <c r="B36" s="16" t="s">
        <v>2</v>
      </c>
      <c r="D36" s="56">
        <v>0.15335959595959595</v>
      </c>
      <c r="E36" s="57">
        <v>1.5201272505009025</v>
      </c>
      <c r="F36" s="56"/>
      <c r="G36" s="57"/>
    </row>
    <row r="37" spans="2:8" x14ac:dyDescent="0.35">
      <c r="B37" s="16" t="s">
        <v>1</v>
      </c>
      <c r="D37" s="56">
        <v>0.21106883116883116</v>
      </c>
      <c r="E37" s="57">
        <v>2.0921513256701973</v>
      </c>
      <c r="F37" s="56"/>
      <c r="G37" s="57"/>
    </row>
    <row r="38" spans="2:8" x14ac:dyDescent="0.35">
      <c r="B38" s="24" t="s">
        <v>18</v>
      </c>
      <c r="D38" s="53">
        <v>100</v>
      </c>
      <c r="E38" s="53">
        <v>991.22062085086441</v>
      </c>
      <c r="F38" s="53">
        <v>100</v>
      </c>
      <c r="G38" s="53">
        <v>1318.1536393150855</v>
      </c>
    </row>
    <row r="39" spans="2:8" ht="5.15" customHeight="1" x14ac:dyDescent="0.35">
      <c r="D39" s="59"/>
      <c r="F39" s="59"/>
      <c r="G39" s="59"/>
    </row>
    <row r="40" spans="2:8" x14ac:dyDescent="0.35">
      <c r="B40" s="24" t="s">
        <v>26</v>
      </c>
      <c r="D40" s="57">
        <v>76.942662049062037</v>
      </c>
      <c r="E40" s="60">
        <v>762.66918007319043</v>
      </c>
      <c r="F40" s="57">
        <v>90.197999999999993</v>
      </c>
      <c r="G40" s="57">
        <v>1188.9482195894209</v>
      </c>
      <c r="H40" s="10"/>
    </row>
    <row r="41" spans="2:8" x14ac:dyDescent="0.35">
      <c r="B41" s="24" t="s">
        <v>27</v>
      </c>
      <c r="D41" s="57">
        <v>23.057646392496398</v>
      </c>
      <c r="E41" s="60">
        <v>228.55144077767395</v>
      </c>
      <c r="F41" s="57">
        <v>9.8019999999999907</v>
      </c>
      <c r="G41" s="57">
        <v>129.20541972566457</v>
      </c>
    </row>
    <row r="42" spans="2:8" ht="5.15" customHeight="1" x14ac:dyDescent="0.35"/>
    <row r="43" spans="2:8" ht="15" thickBot="1" x14ac:dyDescent="0.4">
      <c r="B43" s="26" t="s">
        <v>28</v>
      </c>
      <c r="D43" s="58" t="s">
        <v>53</v>
      </c>
      <c r="E43" s="45" t="s">
        <v>51</v>
      </c>
      <c r="F43" s="58" t="s">
        <v>57</v>
      </c>
      <c r="G43" s="45" t="s">
        <v>55</v>
      </c>
    </row>
    <row r="44" spans="2:8" ht="5.15" customHeight="1" x14ac:dyDescent="0.35"/>
    <row r="45" spans="2:8" x14ac:dyDescent="0.35">
      <c r="B45" s="24" t="s">
        <v>20</v>
      </c>
      <c r="D45" s="56">
        <v>3.9013154376126131</v>
      </c>
      <c r="E45" s="57">
        <v>56.198702423474352</v>
      </c>
      <c r="F45" s="56">
        <v>58.650417500000003</v>
      </c>
      <c r="G45" s="57">
        <v>428.58915351598432</v>
      </c>
    </row>
    <row r="46" spans="2:8" x14ac:dyDescent="0.35">
      <c r="B46" s="24" t="s">
        <v>21</v>
      </c>
      <c r="D46" s="56">
        <v>54.714315622837155</v>
      </c>
      <c r="E46" s="57">
        <v>788.16327240473777</v>
      </c>
      <c r="F46" s="56">
        <v>11.608082500000004</v>
      </c>
      <c r="G46" s="57">
        <v>84.826305842046423</v>
      </c>
    </row>
    <row r="47" spans="2:8" x14ac:dyDescent="0.35">
      <c r="B47" s="24" t="s">
        <v>22</v>
      </c>
      <c r="D47" s="56">
        <v>28.866600732411808</v>
      </c>
      <c r="E47" s="57">
        <v>415.82525957726546</v>
      </c>
      <c r="F47" s="56"/>
      <c r="G47" s="57">
        <v>0</v>
      </c>
    </row>
    <row r="48" spans="2:8" x14ac:dyDescent="0.35">
      <c r="B48" s="24" t="s">
        <v>23</v>
      </c>
      <c r="D48" s="56">
        <v>12.346124750704893</v>
      </c>
      <c r="E48" s="57">
        <v>177.84672940277414</v>
      </c>
      <c r="F48" s="56">
        <v>29.741499999999995</v>
      </c>
      <c r="G48" s="57">
        <v>217.33663378092137</v>
      </c>
    </row>
    <row r="49" spans="2:7" x14ac:dyDescent="0.35">
      <c r="B49" s="16" t="s">
        <v>2</v>
      </c>
      <c r="D49" s="56">
        <v>0.11984192971597553</v>
      </c>
      <c r="E49" s="57">
        <v>1.7263307860295594</v>
      </c>
      <c r="F49" s="56"/>
      <c r="G49" s="57">
        <v>0</v>
      </c>
    </row>
    <row r="50" spans="2:7" x14ac:dyDescent="0.35">
      <c r="B50" s="16" t="s">
        <v>1</v>
      </c>
      <c r="D50" s="56">
        <v>5.180152671755725E-2</v>
      </c>
      <c r="E50" s="57">
        <v>0.74620435892339287</v>
      </c>
      <c r="F50" s="56"/>
      <c r="G50" s="57">
        <v>0</v>
      </c>
    </row>
    <row r="51" spans="2:7" x14ac:dyDescent="0.35">
      <c r="B51" s="24" t="s">
        <v>18</v>
      </c>
      <c r="D51" s="53">
        <v>100</v>
      </c>
      <c r="E51" s="53">
        <v>1440.506498953205</v>
      </c>
      <c r="F51" s="53">
        <v>100</v>
      </c>
      <c r="G51" s="53">
        <v>730.75209313895209</v>
      </c>
    </row>
    <row r="52" spans="2:7" ht="5.15" customHeight="1" x14ac:dyDescent="0.35">
      <c r="D52" s="59"/>
      <c r="E52" s="59"/>
      <c r="F52" s="59"/>
      <c r="G52" s="59"/>
    </row>
    <row r="53" spans="2:7" x14ac:dyDescent="0.35">
      <c r="B53" s="24" t="s">
        <v>26</v>
      </c>
      <c r="D53" s="57">
        <v>58.667432587167326</v>
      </c>
      <c r="E53" s="60">
        <v>845.10817918713553</v>
      </c>
      <c r="F53" s="57">
        <v>70.258500000000012</v>
      </c>
      <c r="G53" s="57">
        <v>513.41545935803072</v>
      </c>
    </row>
    <row r="54" spans="2:7" x14ac:dyDescent="0.35">
      <c r="B54" s="24" t="s">
        <v>27</v>
      </c>
      <c r="D54" s="57">
        <v>41.332567412832674</v>
      </c>
      <c r="E54" s="60">
        <v>595.39831976606911</v>
      </c>
      <c r="F54" s="57">
        <v>29.741499999999991</v>
      </c>
      <c r="G54" s="57">
        <v>217.33663378092137</v>
      </c>
    </row>
    <row r="55" spans="2:7" ht="5.15" customHeight="1" x14ac:dyDescent="0.35"/>
    <row r="56" spans="2:7" ht="15" thickBot="1" x14ac:dyDescent="0.4">
      <c r="B56" s="26" t="s">
        <v>29</v>
      </c>
      <c r="D56" s="58" t="s">
        <v>53</v>
      </c>
      <c r="E56" s="45" t="s">
        <v>51</v>
      </c>
      <c r="F56" s="58" t="s">
        <v>57</v>
      </c>
      <c r="G56" s="45" t="s">
        <v>55</v>
      </c>
    </row>
    <row r="57" spans="2:7" ht="5.15" customHeight="1" x14ac:dyDescent="0.35"/>
    <row r="58" spans="2:7" x14ac:dyDescent="0.35">
      <c r="B58" s="24" t="s">
        <v>20</v>
      </c>
      <c r="D58" s="56">
        <v>4.050049306650191</v>
      </c>
      <c r="E58" s="57">
        <v>20.317145559867054</v>
      </c>
      <c r="F58" s="56">
        <v>33.512946800000002</v>
      </c>
      <c r="G58" s="57">
        <v>97.553694954729693</v>
      </c>
    </row>
    <row r="59" spans="2:7" x14ac:dyDescent="0.35">
      <c r="B59" s="24" t="s">
        <v>21</v>
      </c>
      <c r="D59" s="56">
        <v>38.983817374554178</v>
      </c>
      <c r="E59" s="57">
        <v>195.56302457295027</v>
      </c>
      <c r="F59" s="56">
        <v>5.1370532000000022</v>
      </c>
      <c r="G59" s="57">
        <v>14.953579696519501</v>
      </c>
    </row>
    <row r="60" spans="2:7" x14ac:dyDescent="0.35">
      <c r="B60" s="24" t="s">
        <v>22</v>
      </c>
      <c r="D60" s="56">
        <v>27.632614192026882</v>
      </c>
      <c r="E60" s="57">
        <v>138.61950861121915</v>
      </c>
      <c r="F60" s="56"/>
      <c r="G60" s="57">
        <v>0</v>
      </c>
    </row>
    <row r="61" spans="2:7" x14ac:dyDescent="0.35">
      <c r="B61" s="24" t="s">
        <v>23</v>
      </c>
      <c r="D61" s="56">
        <v>29.251550688117849</v>
      </c>
      <c r="E61" s="57">
        <v>146.74093280950046</v>
      </c>
      <c r="F61" s="56">
        <v>61.349999999999994</v>
      </c>
      <c r="G61" s="57">
        <v>178.58528589532045</v>
      </c>
    </row>
    <row r="62" spans="2:7" x14ac:dyDescent="0.35">
      <c r="B62" s="16" t="s">
        <v>2</v>
      </c>
      <c r="D62" s="56">
        <v>8.1998724720553071E-2</v>
      </c>
      <c r="E62" s="57">
        <v>0.41134808485797991</v>
      </c>
      <c r="F62" s="56"/>
      <c r="G62" s="57"/>
    </row>
    <row r="63" spans="2:7" x14ac:dyDescent="0.35">
      <c r="B63" s="16" t="s">
        <v>1</v>
      </c>
      <c r="D63" s="56">
        <v>0</v>
      </c>
      <c r="E63" s="57">
        <v>0</v>
      </c>
      <c r="F63" s="56"/>
      <c r="G63" s="57"/>
    </row>
    <row r="64" spans="2:7" x14ac:dyDescent="0.35">
      <c r="B64" s="24" t="s">
        <v>18</v>
      </c>
      <c r="D64" s="53">
        <v>100</v>
      </c>
      <c r="E64" s="53">
        <v>501.65195963839494</v>
      </c>
      <c r="F64" s="53">
        <v>100</v>
      </c>
      <c r="G64" s="53">
        <v>291.09256054656964</v>
      </c>
    </row>
    <row r="65" spans="2:7" ht="5.15" customHeight="1" x14ac:dyDescent="0.35">
      <c r="D65" s="59"/>
      <c r="E65" s="59"/>
      <c r="F65" s="59"/>
      <c r="G65" s="59"/>
    </row>
    <row r="66" spans="2:7" x14ac:dyDescent="0.35">
      <c r="B66" s="24" t="s">
        <v>26</v>
      </c>
      <c r="D66" s="57">
        <v>43.033866681204373</v>
      </c>
      <c r="E66" s="60">
        <v>215.88017013281731</v>
      </c>
      <c r="F66" s="57">
        <v>38.650000000000006</v>
      </c>
      <c r="G66" s="57">
        <v>112.50727465124919</v>
      </c>
    </row>
    <row r="67" spans="2:7" x14ac:dyDescent="0.35">
      <c r="B67" s="24" t="s">
        <v>27</v>
      </c>
      <c r="D67" s="57">
        <v>56.966163604865294</v>
      </c>
      <c r="E67" s="60">
        <v>285.7717895055776</v>
      </c>
      <c r="F67" s="57">
        <v>61.349999999999994</v>
      </c>
      <c r="G67" s="57">
        <v>178.58528589532045</v>
      </c>
    </row>
    <row r="68" spans="2:7" ht="5.15" customHeight="1" x14ac:dyDescent="0.35"/>
    <row r="69" spans="2:7" ht="15" thickBot="1" x14ac:dyDescent="0.4">
      <c r="B69" s="26" t="s">
        <v>30</v>
      </c>
      <c r="D69" s="58" t="s">
        <v>53</v>
      </c>
      <c r="E69" s="45" t="s">
        <v>51</v>
      </c>
      <c r="F69" s="58" t="s">
        <v>57</v>
      </c>
      <c r="G69" s="45" t="s">
        <v>55</v>
      </c>
    </row>
    <row r="70" spans="2:7" ht="5.15" customHeight="1" x14ac:dyDescent="0.35"/>
    <row r="71" spans="2:7" x14ac:dyDescent="0.35">
      <c r="B71" s="24" t="s">
        <v>20</v>
      </c>
      <c r="D71" s="56">
        <v>25.438956789560894</v>
      </c>
      <c r="E71" s="57">
        <v>86.871845212037087</v>
      </c>
      <c r="F71" s="56">
        <v>41.067412599999997</v>
      </c>
      <c r="G71" s="57">
        <v>100.32042806333266</v>
      </c>
    </row>
    <row r="72" spans="2:7" x14ac:dyDescent="0.35">
      <c r="B72" s="24" t="s">
        <v>21</v>
      </c>
      <c r="D72" s="56">
        <v>20.31767432062966</v>
      </c>
      <c r="E72" s="57">
        <v>69.383106911625333</v>
      </c>
      <c r="F72" s="56">
        <v>3.3890874000000006</v>
      </c>
      <c r="G72" s="57">
        <v>8.2789413110493175</v>
      </c>
    </row>
    <row r="73" spans="2:7" x14ac:dyDescent="0.35">
      <c r="B73" s="24" t="s">
        <v>22</v>
      </c>
      <c r="D73" s="56">
        <v>19.440793893261532</v>
      </c>
      <c r="E73" s="57">
        <v>66.388635818099644</v>
      </c>
      <c r="F73" s="56"/>
      <c r="G73" s="57">
        <v>0</v>
      </c>
    </row>
    <row r="74" spans="2:7" x14ac:dyDescent="0.35">
      <c r="B74" s="24" t="s">
        <v>23</v>
      </c>
      <c r="D74" s="56">
        <v>34.490644849489094</v>
      </c>
      <c r="E74" s="57">
        <v>117.78257989956984</v>
      </c>
      <c r="F74" s="56">
        <v>55.543499999999995</v>
      </c>
      <c r="G74" s="57">
        <v>135.6829501388095</v>
      </c>
    </row>
    <row r="75" spans="2:7" x14ac:dyDescent="0.35">
      <c r="B75" s="16" t="s">
        <v>2</v>
      </c>
      <c r="D75" s="56">
        <v>0.2435575980392157</v>
      </c>
      <c r="E75" s="57">
        <v>0.8317282085152482</v>
      </c>
      <c r="F75" s="56"/>
      <c r="G75" s="57"/>
    </row>
    <row r="76" spans="2:7" x14ac:dyDescent="0.35">
      <c r="B76" s="16" t="s">
        <v>1</v>
      </c>
      <c r="D76" s="56">
        <v>6.8372549019607834E-2</v>
      </c>
      <c r="E76" s="57">
        <v>0.23348636283784946</v>
      </c>
      <c r="F76" s="56"/>
      <c r="G76" s="57"/>
    </row>
    <row r="77" spans="2:7" x14ac:dyDescent="0.35">
      <c r="B77" s="24" t="s">
        <v>18</v>
      </c>
      <c r="D77" s="53">
        <v>100</v>
      </c>
      <c r="E77" s="53">
        <v>341.49138241268497</v>
      </c>
      <c r="F77" s="53">
        <v>100</v>
      </c>
      <c r="G77" s="53">
        <v>244.28231951319148</v>
      </c>
    </row>
    <row r="78" spans="2:7" ht="5.15" customHeight="1" x14ac:dyDescent="0.35">
      <c r="D78" s="59"/>
      <c r="E78" s="59"/>
      <c r="F78" s="59"/>
      <c r="G78" s="59"/>
    </row>
    <row r="79" spans="2:7" x14ac:dyDescent="0.35">
      <c r="B79" s="24" t="s">
        <v>26</v>
      </c>
      <c r="D79" s="57">
        <v>45.825003659210161</v>
      </c>
      <c r="E79" s="60">
        <v>156.48843848650026</v>
      </c>
      <c r="F79" s="57">
        <v>44.456499999999998</v>
      </c>
      <c r="G79" s="57">
        <v>108.59936937438198</v>
      </c>
    </row>
    <row r="80" spans="2:7" x14ac:dyDescent="0.35">
      <c r="B80" s="24" t="s">
        <v>27</v>
      </c>
      <c r="D80" s="57">
        <v>54.174996340789846</v>
      </c>
      <c r="E80" s="60">
        <v>185.00294392618474</v>
      </c>
      <c r="F80" s="57">
        <v>55.543499999999987</v>
      </c>
      <c r="G80" s="57">
        <v>135.6829501388095</v>
      </c>
    </row>
    <row r="81" spans="2:7" ht="5.15" customHeight="1" x14ac:dyDescent="0.35"/>
    <row r="82" spans="2:7" ht="15" thickBot="1" x14ac:dyDescent="0.4">
      <c r="B82" s="27" t="s">
        <v>31</v>
      </c>
      <c r="D82" s="58" t="s">
        <v>53</v>
      </c>
      <c r="E82" s="45" t="s">
        <v>51</v>
      </c>
      <c r="F82" s="58" t="s">
        <v>57</v>
      </c>
      <c r="G82" s="45" t="s">
        <v>55</v>
      </c>
    </row>
    <row r="83" spans="2:7" ht="5.15" customHeight="1" x14ac:dyDescent="0.35"/>
    <row r="84" spans="2:7" x14ac:dyDescent="0.35">
      <c r="B84" s="24" t="s">
        <v>20</v>
      </c>
      <c r="D84" s="56">
        <v>31.348464685470077</v>
      </c>
      <c r="E84" s="57">
        <v>46.669288308814885</v>
      </c>
      <c r="F84" s="56">
        <v>36.399647950000002</v>
      </c>
      <c r="G84" s="57">
        <v>53.363540548302993</v>
      </c>
    </row>
    <row r="85" spans="2:7" x14ac:dyDescent="0.35">
      <c r="B85" s="24" t="s">
        <v>21</v>
      </c>
      <c r="D85" s="56">
        <v>12.152345001139603</v>
      </c>
      <c r="E85" s="57">
        <v>18.091517341493212</v>
      </c>
      <c r="F85" s="56">
        <v>2.3028520499999998</v>
      </c>
      <c r="G85" s="57">
        <v>3.376085914779229</v>
      </c>
    </row>
    <row r="86" spans="2:7" x14ac:dyDescent="0.35">
      <c r="B86" s="24" t="s">
        <v>22</v>
      </c>
      <c r="D86" s="56">
        <v>23.394887477954143</v>
      </c>
      <c r="E86" s="57">
        <v>34.828587607576893</v>
      </c>
      <c r="F86" s="56"/>
      <c r="G86" s="57">
        <v>0</v>
      </c>
    </row>
    <row r="87" spans="2:7" x14ac:dyDescent="0.35">
      <c r="B87" s="24" t="s">
        <v>23</v>
      </c>
      <c r="D87" s="56">
        <v>32.798806132139468</v>
      </c>
      <c r="E87" s="57">
        <v>48.828449971115042</v>
      </c>
      <c r="F87" s="56">
        <v>61.297499999999999</v>
      </c>
      <c r="G87" s="57">
        <v>89.864924827098577</v>
      </c>
    </row>
    <row r="88" spans="2:7" x14ac:dyDescent="0.35">
      <c r="B88" s="16" t="s">
        <v>2</v>
      </c>
      <c r="D88" s="56">
        <v>0.30549670329670325</v>
      </c>
      <c r="E88" s="57">
        <v>0.45480102029221686</v>
      </c>
      <c r="F88" s="56"/>
      <c r="G88" s="57"/>
    </row>
    <row r="89" spans="2:7" x14ac:dyDescent="0.35">
      <c r="B89" s="16" t="s">
        <v>1</v>
      </c>
      <c r="D89" s="56">
        <v>0</v>
      </c>
      <c r="E89" s="57">
        <v>0</v>
      </c>
      <c r="F89" s="56"/>
      <c r="G89" s="57"/>
    </row>
    <row r="90" spans="2:7" x14ac:dyDescent="0.35">
      <c r="B90" s="24" t="s">
        <v>18</v>
      </c>
      <c r="D90" s="53">
        <v>99.999999999999986</v>
      </c>
      <c r="E90" s="53">
        <v>148.87264424929225</v>
      </c>
      <c r="F90" s="53">
        <v>100</v>
      </c>
      <c r="G90" s="53">
        <v>146.60455129018081</v>
      </c>
    </row>
    <row r="91" spans="2:7" ht="5.15" customHeight="1" x14ac:dyDescent="0.35">
      <c r="D91" s="59"/>
      <c r="E91" s="59"/>
      <c r="F91" s="59"/>
      <c r="G91" s="59"/>
    </row>
    <row r="92" spans="2:7" x14ac:dyDescent="0.35">
      <c r="B92" s="24" t="s">
        <v>26</v>
      </c>
      <c r="D92" s="57">
        <v>43.500809686609685</v>
      </c>
      <c r="E92" s="60">
        <v>64.7608056503081</v>
      </c>
      <c r="F92" s="57">
        <v>38.702500000000008</v>
      </c>
      <c r="G92" s="57">
        <v>56.739626463082224</v>
      </c>
    </row>
    <row r="93" spans="2:7" x14ac:dyDescent="0.35">
      <c r="B93" s="24" t="s">
        <v>27</v>
      </c>
      <c r="D93" s="57">
        <v>56.499190313390315</v>
      </c>
      <c r="E93" s="60">
        <v>84.11183859898415</v>
      </c>
      <c r="F93" s="57">
        <v>61.297500000000007</v>
      </c>
      <c r="G93" s="57">
        <v>89.864924827098577</v>
      </c>
    </row>
    <row r="94" spans="2:7" ht="5.15" customHeight="1" x14ac:dyDescent="0.35">
      <c r="B94" s="28"/>
    </row>
    <row r="95" spans="2:7" ht="15" thickBot="1" x14ac:dyDescent="0.4">
      <c r="B95" s="27" t="s">
        <v>32</v>
      </c>
      <c r="D95" s="58" t="s">
        <v>53</v>
      </c>
      <c r="E95" s="45" t="s">
        <v>51</v>
      </c>
      <c r="F95" s="58" t="s">
        <v>57</v>
      </c>
      <c r="G95" s="45" t="s">
        <v>55</v>
      </c>
    </row>
    <row r="96" spans="2:7" ht="5.15" customHeight="1" x14ac:dyDescent="0.35"/>
    <row r="97" spans="2:7" x14ac:dyDescent="0.35">
      <c r="B97" s="24" t="s">
        <v>20</v>
      </c>
      <c r="D97" s="56">
        <v>34.168525239408467</v>
      </c>
      <c r="E97" s="57">
        <v>428.1915377390078</v>
      </c>
      <c r="F97" s="56">
        <v>27.558240599999998</v>
      </c>
      <c r="G97" s="57">
        <v>243.3653908529096</v>
      </c>
    </row>
    <row r="98" spans="2:7" x14ac:dyDescent="0.35">
      <c r="B98" s="24" t="s">
        <v>21</v>
      </c>
      <c r="D98" s="56">
        <v>10.528576289728852</v>
      </c>
      <c r="E98" s="57">
        <v>131.94152337900266</v>
      </c>
      <c r="F98" s="56">
        <v>2.8457594000000008</v>
      </c>
      <c r="G98" s="57">
        <v>25.130753399922845</v>
      </c>
    </row>
    <row r="99" spans="2:7" x14ac:dyDescent="0.35">
      <c r="B99" s="24" t="s">
        <v>22</v>
      </c>
      <c r="D99" s="56">
        <v>35.407600091179312</v>
      </c>
      <c r="E99" s="57">
        <v>443.71931842125883</v>
      </c>
      <c r="F99" s="56"/>
      <c r="G99" s="57">
        <v>0</v>
      </c>
    </row>
    <row r="100" spans="2:7" x14ac:dyDescent="0.35">
      <c r="B100" s="24" t="s">
        <v>23</v>
      </c>
      <c r="D100" s="56">
        <v>18.125841015342292</v>
      </c>
      <c r="E100" s="57">
        <v>227.14857263492948</v>
      </c>
      <c r="F100" s="56">
        <v>69.596000000000004</v>
      </c>
      <c r="G100" s="57">
        <v>614.59865989409707</v>
      </c>
    </row>
    <row r="101" spans="2:7" x14ac:dyDescent="0.35">
      <c r="B101" s="16" t="s">
        <v>2</v>
      </c>
      <c r="D101" s="56">
        <v>1.7694573643410854</v>
      </c>
      <c r="E101" s="57">
        <v>22.174403621229807</v>
      </c>
      <c r="F101" s="56"/>
      <c r="G101" s="57"/>
    </row>
    <row r="102" spans="2:7" x14ac:dyDescent="0.35">
      <c r="B102" s="16" t="s">
        <v>1</v>
      </c>
      <c r="D102" s="56">
        <v>0</v>
      </c>
      <c r="E102" s="57">
        <v>0</v>
      </c>
      <c r="F102" s="56"/>
      <c r="G102" s="57"/>
    </row>
    <row r="103" spans="2:7" x14ac:dyDescent="0.35">
      <c r="B103" s="24" t="s">
        <v>18</v>
      </c>
      <c r="D103" s="53">
        <v>100</v>
      </c>
      <c r="E103" s="53">
        <v>1253.1753557954287</v>
      </c>
      <c r="F103" s="53">
        <v>100</v>
      </c>
      <c r="G103" s="53">
        <v>883.0948041469295</v>
      </c>
    </row>
    <row r="104" spans="2:7" ht="5.15" customHeight="1" x14ac:dyDescent="0.35">
      <c r="D104" s="59"/>
      <c r="E104" s="59"/>
      <c r="F104" s="59"/>
      <c r="G104" s="59"/>
    </row>
    <row r="105" spans="2:7" x14ac:dyDescent="0.35">
      <c r="B105" s="24" t="s">
        <v>26</v>
      </c>
      <c r="D105" s="57">
        <v>44.697101529137321</v>
      </c>
      <c r="E105" s="57">
        <v>560.13306111801046</v>
      </c>
      <c r="F105" s="57">
        <v>30.403999999999996</v>
      </c>
      <c r="G105" s="57">
        <v>268.49614425283244</v>
      </c>
    </row>
    <row r="106" spans="2:7" x14ac:dyDescent="0.35">
      <c r="B106" s="24" t="s">
        <v>27</v>
      </c>
      <c r="D106" s="57">
        <v>55.302898470862694</v>
      </c>
      <c r="E106" s="60">
        <v>693.04229467741811</v>
      </c>
      <c r="F106" s="57">
        <v>69.596000000000004</v>
      </c>
      <c r="G106" s="57">
        <v>614.59865989409707</v>
      </c>
    </row>
    <row r="107" spans="2:7" ht="5.15" customHeight="1" x14ac:dyDescent="0.35"/>
    <row r="108" spans="2:7" x14ac:dyDescent="0.35">
      <c r="B108" s="24" t="s">
        <v>33</v>
      </c>
      <c r="D108" s="61">
        <v>55.69995806907496</v>
      </c>
      <c r="E108" s="57">
        <v>2605.0398346479619</v>
      </c>
      <c r="F108" s="61">
        <v>62.222428282135489</v>
      </c>
      <c r="G108" s="57">
        <v>2248.7060936889975</v>
      </c>
    </row>
    <row r="109" spans="2:7" x14ac:dyDescent="0.35">
      <c r="B109" s="24" t="s">
        <v>34</v>
      </c>
      <c r="D109" s="61">
        <v>44.300110550032791</v>
      </c>
      <c r="E109" s="57">
        <v>2071.8786272519078</v>
      </c>
      <c r="F109" s="61">
        <v>37.777571717864504</v>
      </c>
      <c r="G109" s="57">
        <v>1365.2738742619115</v>
      </c>
    </row>
    <row r="110" spans="2:7" ht="5.15" customHeight="1" x14ac:dyDescent="0.35"/>
    <row r="111" spans="2:7" x14ac:dyDescent="0.35">
      <c r="B111" s="24" t="s">
        <v>18</v>
      </c>
      <c r="D111" s="62"/>
      <c r="E111" s="53">
        <v>4676.9184618998697</v>
      </c>
      <c r="F111" s="62"/>
      <c r="G111" s="63">
        <v>3613.9799679509088</v>
      </c>
    </row>
    <row r="112" spans="2:7" ht="5.15" customHeight="1" x14ac:dyDescent="0.35"/>
    <row r="113" spans="1:7" x14ac:dyDescent="0.35">
      <c r="A113" s="11"/>
      <c r="B113" s="29"/>
      <c r="C113" s="64"/>
      <c r="D113" s="64"/>
      <c r="E113" s="64"/>
      <c r="F113" s="64"/>
      <c r="G113" s="64"/>
    </row>
    <row r="114" spans="1:7" x14ac:dyDescent="0.35">
      <c r="B114" s="4" t="s">
        <v>35</v>
      </c>
      <c r="C114" s="65"/>
      <c r="F114" s="52">
        <v>45.653919671477944</v>
      </c>
    </row>
    <row r="115" spans="1:7" ht="15.5" x14ac:dyDescent="0.35">
      <c r="B115" s="19" t="s">
        <v>36</v>
      </c>
      <c r="C115" s="53">
        <v>3571713.8612342244</v>
      </c>
      <c r="D115" s="53">
        <v>0.49666666666666665</v>
      </c>
      <c r="E115" s="53">
        <v>17739.512177463315</v>
      </c>
      <c r="F115" s="53">
        <v>0.08</v>
      </c>
      <c r="G115" s="53">
        <v>2857.3710889873792</v>
      </c>
    </row>
    <row r="116" spans="1:7" ht="5.15" customHeight="1" x14ac:dyDescent="0.35">
      <c r="E116" s="54"/>
      <c r="F116" s="54"/>
      <c r="G116" s="54"/>
    </row>
    <row r="117" spans="1:7" x14ac:dyDescent="0.35">
      <c r="B117" s="20" t="s">
        <v>12</v>
      </c>
      <c r="C117" s="55" t="s">
        <v>13</v>
      </c>
      <c r="D117" s="55" t="s">
        <v>52</v>
      </c>
      <c r="E117" s="55" t="s">
        <v>51</v>
      </c>
      <c r="F117" s="55" t="s">
        <v>56</v>
      </c>
      <c r="G117" s="55" t="s">
        <v>55</v>
      </c>
    </row>
    <row r="118" spans="1:7" ht="5.15" customHeight="1" x14ac:dyDescent="0.35"/>
    <row r="119" spans="1:7" ht="14.25" customHeight="1" x14ac:dyDescent="0.35">
      <c r="B119" s="23" t="s">
        <v>37</v>
      </c>
      <c r="C119" s="56">
        <v>3.6844444444444449</v>
      </c>
      <c r="D119" s="56">
        <v>2.8739645848516737</v>
      </c>
      <c r="E119" s="57">
        <v>509.82729750574566</v>
      </c>
      <c r="F119" s="56">
        <v>6.6196436556893818</v>
      </c>
      <c r="G119" s="57">
        <v>189.14778401165566</v>
      </c>
    </row>
    <row r="120" spans="1:7" ht="15" customHeight="1" x14ac:dyDescent="0.35">
      <c r="B120" s="23" t="s">
        <v>38</v>
      </c>
      <c r="C120" s="56">
        <v>12.826666666666666</v>
      </c>
      <c r="D120" s="56">
        <v>17.666768883687812</v>
      </c>
      <c r="E120" s="57">
        <v>3133.9986174860992</v>
      </c>
      <c r="F120" s="56">
        <v>11.13414538948467</v>
      </c>
      <c r="G120" s="57">
        <v>318.14385136495622</v>
      </c>
    </row>
    <row r="121" spans="1:7" x14ac:dyDescent="0.35">
      <c r="B121" s="23" t="s">
        <v>39</v>
      </c>
      <c r="C121" s="56">
        <v>24.837777777777777</v>
      </c>
      <c r="D121" s="56">
        <v>28.573457685736727</v>
      </c>
      <c r="E121" s="57">
        <v>5068.7920056835937</v>
      </c>
      <c r="F121" s="56">
        <v>14.463601223746583</v>
      </c>
      <c r="G121" s="57">
        <v>413.27875979375966</v>
      </c>
    </row>
    <row r="122" spans="1:7" x14ac:dyDescent="0.35">
      <c r="B122" s="23" t="s">
        <v>40</v>
      </c>
      <c r="C122" s="56">
        <v>14.89111111111111</v>
      </c>
      <c r="D122" s="56">
        <v>9.9244800549204069</v>
      </c>
      <c r="E122" s="57">
        <v>1760.5543478925235</v>
      </c>
      <c r="F122" s="56">
        <v>8.4741433103544992</v>
      </c>
      <c r="G122" s="57">
        <v>242.13772098942752</v>
      </c>
    </row>
    <row r="123" spans="1:7" x14ac:dyDescent="0.35">
      <c r="B123" s="23" t="s">
        <v>5</v>
      </c>
      <c r="C123" s="56">
        <v>43.76</v>
      </c>
      <c r="D123" s="56">
        <v>40.961328790803385</v>
      </c>
      <c r="E123" s="57">
        <v>7266.3399088953538</v>
      </c>
      <c r="F123" s="56">
        <v>59.308466420724862</v>
      </c>
      <c r="G123" s="57">
        <v>1694.66297282758</v>
      </c>
    </row>
    <row r="124" spans="1:7" x14ac:dyDescent="0.35">
      <c r="B124" s="24" t="s">
        <v>18</v>
      </c>
      <c r="C124" s="53">
        <v>100</v>
      </c>
      <c r="D124" s="53">
        <v>100</v>
      </c>
      <c r="E124" s="53">
        <v>17739.512177463315</v>
      </c>
      <c r="F124" s="53">
        <v>100</v>
      </c>
      <c r="G124" s="53">
        <v>2857.3710889873792</v>
      </c>
    </row>
    <row r="125" spans="1:7" ht="5.15" customHeight="1" x14ac:dyDescent="0.35"/>
    <row r="126" spans="1:7" ht="15" thickBot="1" x14ac:dyDescent="0.4">
      <c r="B126" s="30" t="s">
        <v>41</v>
      </c>
      <c r="D126" s="58" t="s">
        <v>53</v>
      </c>
      <c r="E126" s="45" t="s">
        <v>51</v>
      </c>
      <c r="F126" s="58" t="s">
        <v>57</v>
      </c>
      <c r="G126" s="45" t="s">
        <v>55</v>
      </c>
    </row>
    <row r="127" spans="1:7" ht="5.15" customHeight="1" x14ac:dyDescent="0.35"/>
    <row r="128" spans="1:7" x14ac:dyDescent="0.35">
      <c r="B128" s="24" t="s">
        <v>20</v>
      </c>
      <c r="D128" s="56">
        <v>3.3166003037519416</v>
      </c>
      <c r="E128" s="57">
        <v>16.908933697685878</v>
      </c>
      <c r="F128" s="56">
        <v>52.155443750000003</v>
      </c>
      <c r="G128" s="57">
        <v>98.650866094570574</v>
      </c>
    </row>
    <row r="129" spans="2:7" x14ac:dyDescent="0.35">
      <c r="B129" s="24" t="s">
        <v>21</v>
      </c>
      <c r="D129" s="56">
        <v>60.80061180200294</v>
      </c>
      <c r="E129" s="57">
        <v>309.97811601711101</v>
      </c>
      <c r="F129" s="56">
        <v>32.156056249999999</v>
      </c>
      <c r="G129" s="57">
        <v>60.822467822416499</v>
      </c>
    </row>
    <row r="130" spans="2:7" x14ac:dyDescent="0.35">
      <c r="B130" s="24" t="s">
        <v>22</v>
      </c>
      <c r="D130" s="56">
        <v>30.356901645237016</v>
      </c>
      <c r="E130" s="57">
        <v>154.76777126438913</v>
      </c>
      <c r="F130" s="56"/>
      <c r="G130" s="57">
        <v>0</v>
      </c>
    </row>
    <row r="131" spans="2:7" x14ac:dyDescent="0.35">
      <c r="B131" s="24" t="s">
        <v>23</v>
      </c>
      <c r="D131" s="56">
        <v>4.9803876045559479</v>
      </c>
      <c r="E131" s="57">
        <v>25.391375529618731</v>
      </c>
      <c r="F131" s="56">
        <v>15.688499999999998</v>
      </c>
      <c r="G131" s="57">
        <v>29.674450094668593</v>
      </c>
    </row>
    <row r="132" spans="2:7" x14ac:dyDescent="0.35">
      <c r="B132" s="16" t="s">
        <v>2</v>
      </c>
      <c r="D132" s="56">
        <v>9.4974112122340484E-2</v>
      </c>
      <c r="E132" s="57">
        <v>0.48420394916340526</v>
      </c>
      <c r="F132" s="56"/>
      <c r="G132" s="57">
        <v>0</v>
      </c>
    </row>
    <row r="133" spans="2:7" x14ac:dyDescent="0.35">
      <c r="B133" s="16" t="s">
        <v>1</v>
      </c>
      <c r="D133" s="56">
        <v>0.45085603416131037</v>
      </c>
      <c r="E133" s="57">
        <v>2.2985871346061901</v>
      </c>
      <c r="F133" s="56"/>
      <c r="G133" s="57"/>
    </row>
    <row r="134" spans="2:7" x14ac:dyDescent="0.35">
      <c r="B134" s="24" t="s">
        <v>18</v>
      </c>
      <c r="D134" s="53">
        <v>100.0003315018315</v>
      </c>
      <c r="E134" s="53">
        <v>509.82898759257438</v>
      </c>
      <c r="F134" s="53">
        <v>100</v>
      </c>
      <c r="G134" s="53">
        <v>189.14778401165569</v>
      </c>
    </row>
    <row r="135" spans="2:7" ht="5.15" customHeight="1" x14ac:dyDescent="0.35">
      <c r="D135" s="59"/>
      <c r="F135" s="59"/>
      <c r="G135" s="59"/>
    </row>
    <row r="136" spans="2:7" x14ac:dyDescent="0.35">
      <c r="B136" s="24" t="s">
        <v>26</v>
      </c>
      <c r="D136" s="57">
        <v>64.568068139916193</v>
      </c>
      <c r="E136" s="57">
        <v>329.18563684940307</v>
      </c>
      <c r="F136" s="57">
        <v>84.311500000000024</v>
      </c>
      <c r="G136" s="57">
        <v>159.47333391698709</v>
      </c>
    </row>
    <row r="137" spans="2:7" x14ac:dyDescent="0.35">
      <c r="B137" s="24" t="s">
        <v>27</v>
      </c>
      <c r="D137" s="57">
        <v>35.432263361915318</v>
      </c>
      <c r="E137" s="57">
        <v>180.64335074317131</v>
      </c>
      <c r="F137" s="57">
        <v>15.688500000000003</v>
      </c>
      <c r="G137" s="57">
        <v>29.6744500946686</v>
      </c>
    </row>
    <row r="138" spans="2:7" ht="5.15" customHeight="1" x14ac:dyDescent="0.35"/>
    <row r="139" spans="2:7" ht="15" thickBot="1" x14ac:dyDescent="0.4">
      <c r="B139" s="30" t="s">
        <v>42</v>
      </c>
      <c r="D139" s="58" t="s">
        <v>53</v>
      </c>
      <c r="E139" s="45" t="s">
        <v>51</v>
      </c>
      <c r="F139" s="58" t="s">
        <v>57</v>
      </c>
      <c r="G139" s="45" t="s">
        <v>55</v>
      </c>
    </row>
    <row r="140" spans="2:7" ht="5.15" customHeight="1" x14ac:dyDescent="0.35"/>
    <row r="141" spans="2:7" x14ac:dyDescent="0.35">
      <c r="B141" s="24" t="s">
        <v>20</v>
      </c>
      <c r="D141" s="56">
        <v>4.4536171847908745</v>
      </c>
      <c r="E141" s="57">
        <v>139.57630099946934</v>
      </c>
      <c r="F141" s="56">
        <v>55.918138449999994</v>
      </c>
      <c r="G141" s="57">
        <v>177.90011927641842</v>
      </c>
    </row>
    <row r="142" spans="2:7" x14ac:dyDescent="0.35">
      <c r="B142" s="24" t="s">
        <v>21</v>
      </c>
      <c r="D142" s="56">
        <v>44.01795442484157</v>
      </c>
      <c r="E142" s="57">
        <v>1379.5220831201962</v>
      </c>
      <c r="F142" s="56">
        <v>18.10436155</v>
      </c>
      <c r="G142" s="57">
        <v>57.597913100206284</v>
      </c>
    </row>
    <row r="143" spans="2:7" x14ac:dyDescent="0.35">
      <c r="B143" s="24" t="s">
        <v>22</v>
      </c>
      <c r="D143" s="56">
        <v>50.613987748204487</v>
      </c>
      <c r="E143" s="57">
        <v>1586.2416762833125</v>
      </c>
      <c r="F143" s="56"/>
      <c r="G143" s="57">
        <v>0</v>
      </c>
    </row>
    <row r="144" spans="2:7" x14ac:dyDescent="0.35">
      <c r="B144" s="24" t="s">
        <v>23</v>
      </c>
      <c r="D144" s="56">
        <v>0.84495141529362172</v>
      </c>
      <c r="E144" s="57">
        <v>26.480765673731334</v>
      </c>
      <c r="F144" s="56">
        <v>25.977499999999999</v>
      </c>
      <c r="G144" s="57">
        <v>82.645818988331499</v>
      </c>
    </row>
    <row r="145" spans="2:7" x14ac:dyDescent="0.35">
      <c r="B145" s="16" t="s">
        <v>2</v>
      </c>
      <c r="D145" s="56">
        <v>1.918969159273342E-2</v>
      </c>
      <c r="E145" s="57">
        <v>0.60140466921611158</v>
      </c>
      <c r="F145" s="56"/>
      <c r="G145" s="57">
        <v>0</v>
      </c>
    </row>
    <row r="146" spans="2:7" x14ac:dyDescent="0.35">
      <c r="B146" s="16" t="s">
        <v>1</v>
      </c>
      <c r="D146" s="56">
        <v>5.0299535276721589E-2</v>
      </c>
      <c r="E146" s="57">
        <v>1.5763867401743876</v>
      </c>
      <c r="F146" s="56"/>
      <c r="G146" s="57"/>
    </row>
    <row r="147" spans="2:7" x14ac:dyDescent="0.35">
      <c r="B147" s="24" t="s">
        <v>18</v>
      </c>
      <c r="D147" s="53">
        <v>100</v>
      </c>
      <c r="E147" s="53">
        <v>3133.9986174860996</v>
      </c>
      <c r="F147" s="53">
        <v>100</v>
      </c>
      <c r="G147" s="53">
        <v>318.14385136495622</v>
      </c>
    </row>
    <row r="148" spans="2:7" ht="5.15" customHeight="1" x14ac:dyDescent="0.35">
      <c r="D148" s="59"/>
      <c r="E148" s="59"/>
      <c r="F148" s="59"/>
      <c r="G148" s="59"/>
    </row>
    <row r="149" spans="2:7" x14ac:dyDescent="0.35">
      <c r="B149" s="24" t="s">
        <v>26</v>
      </c>
      <c r="D149" s="57">
        <v>48.52187114490917</v>
      </c>
      <c r="E149" s="57">
        <v>1520.67477085984</v>
      </c>
      <c r="F149" s="57">
        <v>74.022499999999994</v>
      </c>
      <c r="G149" s="57">
        <v>235.49803237662471</v>
      </c>
    </row>
    <row r="150" spans="2:7" x14ac:dyDescent="0.35">
      <c r="B150" s="24" t="s">
        <v>27</v>
      </c>
      <c r="D150" s="57">
        <v>51.478128855090844</v>
      </c>
      <c r="E150" s="57">
        <v>1613.3238466262596</v>
      </c>
      <c r="F150" s="57">
        <v>25.977500000000003</v>
      </c>
      <c r="G150" s="57">
        <v>82.645818988331513</v>
      </c>
    </row>
    <row r="151" spans="2:7" ht="5.15" customHeight="1" x14ac:dyDescent="0.35"/>
    <row r="152" spans="2:7" ht="15" thickBot="1" x14ac:dyDescent="0.4">
      <c r="B152" s="26" t="s">
        <v>43</v>
      </c>
      <c r="D152" s="58" t="s">
        <v>53</v>
      </c>
      <c r="E152" s="45" t="s">
        <v>51</v>
      </c>
      <c r="F152" s="58" t="s">
        <v>57</v>
      </c>
      <c r="G152" s="45" t="s">
        <v>55</v>
      </c>
    </row>
    <row r="153" spans="2:7" ht="5.15" customHeight="1" x14ac:dyDescent="0.35"/>
    <row r="154" spans="2:7" x14ac:dyDescent="0.35">
      <c r="B154" s="24" t="s">
        <v>20</v>
      </c>
      <c r="D154" s="56">
        <v>8.0091299922655317</v>
      </c>
      <c r="E154" s="57">
        <v>405.96614077276229</v>
      </c>
      <c r="F154" s="56">
        <v>50.909281800000002</v>
      </c>
      <c r="G154" s="57">
        <v>210.39724844295023</v>
      </c>
    </row>
    <row r="155" spans="2:7" x14ac:dyDescent="0.35">
      <c r="B155" s="24" t="s">
        <v>21</v>
      </c>
      <c r="D155" s="56">
        <v>22.580003781981205</v>
      </c>
      <c r="E155" s="57">
        <v>1144.5334265841166</v>
      </c>
      <c r="F155" s="56">
        <v>7.5767182000000002</v>
      </c>
      <c r="G155" s="57">
        <v>31.312967010028071</v>
      </c>
    </row>
    <row r="156" spans="2:7" x14ac:dyDescent="0.35">
      <c r="B156" s="24" t="s">
        <v>22</v>
      </c>
      <c r="D156" s="56">
        <v>61.998699354722476</v>
      </c>
      <c r="E156" s="57">
        <v>3142.5851165199788</v>
      </c>
      <c r="F156" s="56"/>
      <c r="G156" s="57">
        <v>0</v>
      </c>
    </row>
    <row r="157" spans="2:7" x14ac:dyDescent="0.35">
      <c r="B157" s="24" t="s">
        <v>23</v>
      </c>
      <c r="D157" s="56">
        <v>7.3653781717739264</v>
      </c>
      <c r="E157" s="57">
        <v>373.3356999592412</v>
      </c>
      <c r="F157" s="56">
        <v>41.513999999999996</v>
      </c>
      <c r="G157" s="57">
        <v>171.56854434078136</v>
      </c>
    </row>
    <row r="158" spans="2:7" x14ac:dyDescent="0.35">
      <c r="B158" s="16" t="s">
        <v>2</v>
      </c>
      <c r="D158" s="56">
        <v>2.5386992568648069E-3</v>
      </c>
      <c r="E158" s="57">
        <v>0.12868138498031215</v>
      </c>
      <c r="F158" s="56"/>
      <c r="G158" s="57">
        <v>0</v>
      </c>
    </row>
    <row r="159" spans="2:7" x14ac:dyDescent="0.35">
      <c r="B159" s="16" t="s">
        <v>1</v>
      </c>
      <c r="D159" s="56">
        <v>4.4250000000000005E-2</v>
      </c>
      <c r="E159" s="57">
        <v>2.2429404625149902</v>
      </c>
      <c r="F159" s="56"/>
      <c r="G159" s="57">
        <v>0</v>
      </c>
    </row>
    <row r="160" spans="2:7" x14ac:dyDescent="0.35">
      <c r="B160" s="24" t="s">
        <v>18</v>
      </c>
      <c r="D160" s="53">
        <v>100</v>
      </c>
      <c r="E160" s="53">
        <v>5068.7920056835947</v>
      </c>
      <c r="F160" s="53">
        <v>100</v>
      </c>
      <c r="G160" s="53">
        <v>413.27875979375966</v>
      </c>
    </row>
    <row r="161" spans="2:7" ht="5.15" customHeight="1" x14ac:dyDescent="0.35">
      <c r="D161" s="59"/>
      <c r="E161" s="59"/>
      <c r="F161" s="59"/>
      <c r="G161" s="59"/>
    </row>
    <row r="162" spans="2:7" x14ac:dyDescent="0.35">
      <c r="B162" s="24" t="s">
        <v>26</v>
      </c>
      <c r="D162" s="57">
        <v>30.633383774246738</v>
      </c>
      <c r="E162" s="57">
        <v>1552.7425078193937</v>
      </c>
      <c r="F162" s="57">
        <v>58.486000000000004</v>
      </c>
      <c r="G162" s="57">
        <v>241.7102154529783</v>
      </c>
    </row>
    <row r="163" spans="2:7" x14ac:dyDescent="0.35">
      <c r="B163" s="24" t="s">
        <v>27</v>
      </c>
      <c r="D163" s="57">
        <v>69.36661622575329</v>
      </c>
      <c r="E163" s="57">
        <v>3516.0494978642009</v>
      </c>
      <c r="F163" s="57">
        <v>41.513999999999996</v>
      </c>
      <c r="G163" s="57">
        <v>171.56854434078136</v>
      </c>
    </row>
    <row r="164" spans="2:7" ht="5.15" customHeight="1" x14ac:dyDescent="0.35"/>
    <row r="165" spans="2:7" ht="15" thickBot="1" x14ac:dyDescent="0.4">
      <c r="B165" s="31" t="s">
        <v>44</v>
      </c>
      <c r="D165" s="58" t="s">
        <v>53</v>
      </c>
      <c r="E165" s="45" t="s">
        <v>51</v>
      </c>
      <c r="F165" s="58" t="s">
        <v>57</v>
      </c>
      <c r="G165" s="45" t="s">
        <v>55</v>
      </c>
    </row>
    <row r="166" spans="2:7" ht="5.15" customHeight="1" x14ac:dyDescent="0.35"/>
    <row r="167" spans="2:7" x14ac:dyDescent="0.35">
      <c r="B167" s="24" t="s">
        <v>20</v>
      </c>
      <c r="D167" s="56">
        <v>6.5348514090547249</v>
      </c>
      <c r="E167" s="57">
        <v>115.0496106104288</v>
      </c>
      <c r="F167" s="56">
        <v>18.24224555</v>
      </c>
      <c r="G167" s="57">
        <v>44.171357632065259</v>
      </c>
    </row>
    <row r="168" spans="2:7" x14ac:dyDescent="0.35">
      <c r="B168" s="24" t="s">
        <v>21</v>
      </c>
      <c r="D168" s="56">
        <v>10.541629187960199</v>
      </c>
      <c r="E168" s="57">
        <v>185.5911110073406</v>
      </c>
      <c r="F168" s="56">
        <v>2.5852544499999994</v>
      </c>
      <c r="G168" s="57">
        <v>6.2598762070077578</v>
      </c>
    </row>
    <row r="169" spans="2:7" x14ac:dyDescent="0.35">
      <c r="B169" s="24" t="s">
        <v>22</v>
      </c>
      <c r="D169" s="56">
        <v>81.606171144278605</v>
      </c>
      <c r="E169" s="57">
        <v>1436.7209942292109</v>
      </c>
      <c r="F169" s="56"/>
      <c r="G169" s="57">
        <v>0</v>
      </c>
    </row>
    <row r="170" spans="2:7" x14ac:dyDescent="0.35">
      <c r="B170" s="24" t="s">
        <v>23</v>
      </c>
      <c r="D170" s="56">
        <v>0.5970149253731355</v>
      </c>
      <c r="E170" s="57">
        <v>10.510772226224042</v>
      </c>
      <c r="F170" s="56">
        <v>79.172499999999999</v>
      </c>
      <c r="G170" s="57">
        <v>191.70648715035452</v>
      </c>
    </row>
    <row r="171" spans="2:7" x14ac:dyDescent="0.35">
      <c r="B171" s="16" t="s">
        <v>2</v>
      </c>
      <c r="D171" s="56">
        <v>0</v>
      </c>
      <c r="E171" s="57">
        <v>0</v>
      </c>
      <c r="F171" s="56"/>
      <c r="G171" s="57">
        <v>0</v>
      </c>
    </row>
    <row r="172" spans="2:7" x14ac:dyDescent="0.35">
      <c r="B172" s="16" t="s">
        <v>1</v>
      </c>
      <c r="D172" s="56">
        <v>0.72033333333333338</v>
      </c>
      <c r="E172" s="57">
        <v>12.681859819319145</v>
      </c>
      <c r="F172" s="56"/>
      <c r="G172" s="57">
        <v>0</v>
      </c>
    </row>
    <row r="173" spans="2:7" x14ac:dyDescent="0.35">
      <c r="B173" s="24" t="s">
        <v>18</v>
      </c>
      <c r="D173" s="53">
        <v>99.999999999999986</v>
      </c>
      <c r="E173" s="53">
        <v>1760.5543478925233</v>
      </c>
      <c r="F173" s="53">
        <v>100</v>
      </c>
      <c r="G173" s="53">
        <v>242.13772098942752</v>
      </c>
    </row>
    <row r="174" spans="2:7" ht="5.15" customHeight="1" x14ac:dyDescent="0.35">
      <c r="D174" s="59"/>
      <c r="E174" s="59"/>
      <c r="F174" s="59"/>
      <c r="G174" s="59"/>
    </row>
    <row r="175" spans="2:7" x14ac:dyDescent="0.35">
      <c r="B175" s="24" t="s">
        <v>26</v>
      </c>
      <c r="D175" s="57">
        <v>17.796813930348254</v>
      </c>
      <c r="E175" s="57">
        <v>313.3225814370885</v>
      </c>
      <c r="F175" s="57">
        <v>20.827500000000001</v>
      </c>
      <c r="G175" s="57">
        <v>50.431233839073016</v>
      </c>
    </row>
    <row r="176" spans="2:7" x14ac:dyDescent="0.35">
      <c r="B176" s="24" t="s">
        <v>27</v>
      </c>
      <c r="D176" s="57">
        <v>82.203186069651736</v>
      </c>
      <c r="E176" s="57">
        <v>1447.2317664554348</v>
      </c>
      <c r="F176" s="57">
        <v>79.172499999999999</v>
      </c>
      <c r="G176" s="57">
        <v>191.70648715035452</v>
      </c>
    </row>
    <row r="177" spans="2:7" ht="5.15" customHeight="1" x14ac:dyDescent="0.35">
      <c r="B177" s="28"/>
    </row>
    <row r="178" spans="2:7" ht="15" thickBot="1" x14ac:dyDescent="0.4">
      <c r="B178" s="27" t="s">
        <v>32</v>
      </c>
      <c r="D178" s="58" t="s">
        <v>53</v>
      </c>
      <c r="E178" s="45" t="s">
        <v>51</v>
      </c>
      <c r="F178" s="58" t="s">
        <v>57</v>
      </c>
      <c r="G178" s="45" t="s">
        <v>55</v>
      </c>
    </row>
    <row r="179" spans="2:7" ht="5.15" customHeight="1" x14ac:dyDescent="0.35"/>
    <row r="180" spans="2:7" x14ac:dyDescent="0.35">
      <c r="B180" s="24" t="s">
        <v>20</v>
      </c>
      <c r="D180" s="56">
        <v>27.37209366711711</v>
      </c>
      <c r="E180" s="57">
        <v>1988.9493660339483</v>
      </c>
      <c r="F180" s="56">
        <v>24.056659100000001</v>
      </c>
      <c r="G180" s="57">
        <v>407.67929426705655</v>
      </c>
    </row>
    <row r="181" spans="2:7" x14ac:dyDescent="0.35">
      <c r="B181" s="24" t="s">
        <v>21</v>
      </c>
      <c r="D181" s="56">
        <v>0.34153583901586515</v>
      </c>
      <c r="E181" s="57">
        <v>24.817154973590398</v>
      </c>
      <c r="F181" s="56">
        <v>3.2883408999999988</v>
      </c>
      <c r="G181" s="57">
        <v>55.726295652645177</v>
      </c>
    </row>
    <row r="182" spans="2:7" x14ac:dyDescent="0.35">
      <c r="B182" s="24" t="s">
        <v>22</v>
      </c>
      <c r="D182" s="56">
        <v>66.635681368739313</v>
      </c>
      <c r="E182" s="57">
        <v>4841.9751088610501</v>
      </c>
      <c r="F182" s="56"/>
      <c r="G182" s="57">
        <v>0</v>
      </c>
    </row>
    <row r="183" spans="2:7" x14ac:dyDescent="0.35">
      <c r="B183" s="24" t="s">
        <v>23</v>
      </c>
      <c r="D183" s="56">
        <v>5.4238655957159381</v>
      </c>
      <c r="E183" s="57">
        <v>394.11651038635193</v>
      </c>
      <c r="F183" s="56">
        <v>72.655000000000001</v>
      </c>
      <c r="G183" s="57">
        <v>1231.2573829078783</v>
      </c>
    </row>
    <row r="184" spans="2:7" x14ac:dyDescent="0.35">
      <c r="B184" s="16" t="s">
        <v>2</v>
      </c>
      <c r="D184" s="56">
        <v>0</v>
      </c>
      <c r="E184" s="57">
        <v>0</v>
      </c>
      <c r="F184" s="56"/>
      <c r="G184" s="57">
        <v>0</v>
      </c>
    </row>
    <row r="185" spans="2:7" x14ac:dyDescent="0.35">
      <c r="B185" s="16" t="s">
        <v>1</v>
      </c>
      <c r="D185" s="56">
        <v>0.22713725490196071</v>
      </c>
      <c r="E185" s="57">
        <v>16.504565000910539</v>
      </c>
      <c r="F185" s="56"/>
      <c r="G185" s="57">
        <v>0</v>
      </c>
    </row>
    <row r="186" spans="2:7" x14ac:dyDescent="0.35">
      <c r="B186" s="24" t="s">
        <v>18</v>
      </c>
      <c r="D186" s="53">
        <v>100.00031372549019</v>
      </c>
      <c r="E186" s="53">
        <v>7266.3627052558522</v>
      </c>
      <c r="F186" s="53">
        <v>100</v>
      </c>
      <c r="G186" s="53">
        <v>1694.66297282758</v>
      </c>
    </row>
    <row r="187" spans="2:7" ht="5.15" customHeight="1" x14ac:dyDescent="0.35">
      <c r="F187" s="59"/>
      <c r="G187" s="59"/>
    </row>
    <row r="188" spans="2:7" x14ac:dyDescent="0.35">
      <c r="B188" s="24" t="s">
        <v>26</v>
      </c>
      <c r="D188" s="57">
        <v>27.940766761034936</v>
      </c>
      <c r="E188" s="57">
        <v>2030.2710860084494</v>
      </c>
      <c r="F188" s="57">
        <v>27.344999999999999</v>
      </c>
      <c r="G188" s="57">
        <v>463.4055899197017</v>
      </c>
    </row>
    <row r="189" spans="2:7" x14ac:dyDescent="0.35">
      <c r="B189" s="24" t="s">
        <v>27</v>
      </c>
      <c r="D189" s="57">
        <v>72.059546964455265</v>
      </c>
      <c r="E189" s="57">
        <v>5236.0916192474033</v>
      </c>
      <c r="F189" s="57">
        <v>72.655000000000001</v>
      </c>
      <c r="G189" s="57">
        <v>1231.2573829078783</v>
      </c>
    </row>
    <row r="190" spans="2:7" ht="5.15" customHeight="1" x14ac:dyDescent="0.35">
      <c r="F190" s="59"/>
      <c r="G190" s="59"/>
    </row>
    <row r="191" spans="2:7" x14ac:dyDescent="0.35">
      <c r="B191" s="24" t="s">
        <v>33</v>
      </c>
      <c r="D191" s="57">
        <v>32.392077783707464</v>
      </c>
      <c r="E191" s="57">
        <v>5746.1965829741748</v>
      </c>
      <c r="F191" s="57">
        <v>40.264927784129569</v>
      </c>
      <c r="G191" s="57">
        <v>1150.5184055053649</v>
      </c>
    </row>
    <row r="192" spans="2:7" x14ac:dyDescent="0.35">
      <c r="B192" s="24" t="s">
        <v>34</v>
      </c>
      <c r="D192" s="57">
        <v>67.608060249667318</v>
      </c>
      <c r="E192" s="60">
        <v>11993.34008093647</v>
      </c>
      <c r="F192" s="57">
        <v>59.735072215870431</v>
      </c>
      <c r="G192" s="57">
        <v>1706.8526834820143</v>
      </c>
    </row>
    <row r="193" spans="2:7" ht="5.15" customHeight="1" x14ac:dyDescent="0.35"/>
    <row r="194" spans="2:7" x14ac:dyDescent="0.35">
      <c r="B194" s="24" t="s">
        <v>18</v>
      </c>
      <c r="D194" s="62"/>
      <c r="E194" s="53">
        <v>17739.536663910643</v>
      </c>
      <c r="F194" s="53"/>
      <c r="G194" s="53">
        <v>2857.3710889873792</v>
      </c>
    </row>
    <row r="195" spans="2:7" ht="5.15" customHeight="1" x14ac:dyDescent="0.35"/>
    <row r="196" spans="2:7" ht="17.5" x14ac:dyDescent="0.35">
      <c r="B196" s="32" t="s">
        <v>45</v>
      </c>
      <c r="F196" s="66"/>
    </row>
    <row r="197" spans="2:7" ht="15.5" x14ac:dyDescent="0.35">
      <c r="B197" s="19" t="s">
        <v>46</v>
      </c>
      <c r="C197" s="63">
        <v>7823455</v>
      </c>
      <c r="D197" s="63">
        <v>0.28650701445959448</v>
      </c>
      <c r="E197" s="53">
        <v>22414.747348089866</v>
      </c>
      <c r="F197" s="63">
        <v>8.2913635260159491E-2</v>
      </c>
      <c r="G197" s="53">
        <v>6471.3510569382888</v>
      </c>
    </row>
    <row r="198" spans="2:7" ht="5.15" customHeight="1" x14ac:dyDescent="0.35">
      <c r="E198" s="54"/>
      <c r="F198" s="54"/>
      <c r="G198" s="54"/>
    </row>
    <row r="199" spans="2:7" x14ac:dyDescent="0.35">
      <c r="B199" s="20" t="s">
        <v>12</v>
      </c>
      <c r="C199" s="55" t="s">
        <v>13</v>
      </c>
      <c r="D199" s="55" t="s">
        <v>52</v>
      </c>
      <c r="E199" s="55" t="s">
        <v>51</v>
      </c>
      <c r="F199" s="55" t="s">
        <v>56</v>
      </c>
      <c r="G199" s="55" t="s">
        <v>55</v>
      </c>
    </row>
    <row r="200" spans="2:7" ht="15" customHeight="1" x14ac:dyDescent="0.35">
      <c r="B200" s="21" t="s">
        <v>4</v>
      </c>
      <c r="C200" s="53">
        <v>10.891653694488122</v>
      </c>
      <c r="D200" s="53">
        <v>4.4896543605571377</v>
      </c>
      <c r="E200" s="57">
        <v>1006.344681721382</v>
      </c>
      <c r="F200" s="53">
        <v>20.307076456178653</v>
      </c>
      <c r="G200" s="57">
        <v>1314.1422068801835</v>
      </c>
    </row>
    <row r="201" spans="2:7" ht="14.25" customHeight="1" x14ac:dyDescent="0.35">
      <c r="B201" s="22" t="s">
        <v>14</v>
      </c>
      <c r="C201" s="53">
        <v>16.675439610145492</v>
      </c>
      <c r="D201" s="53">
        <v>8.7897755514694804</v>
      </c>
      <c r="E201" s="57">
        <v>1970.2059823260568</v>
      </c>
      <c r="F201" s="53">
        <v>14.140776816791037</v>
      </c>
      <c r="G201" s="57">
        <v>915.09930999269125</v>
      </c>
    </row>
    <row r="202" spans="2:7" ht="15" customHeight="1" x14ac:dyDescent="0.35">
      <c r="B202" s="23" t="s">
        <v>38</v>
      </c>
      <c r="C202" s="53">
        <v>14.979314193946124</v>
      </c>
      <c r="D202" s="53">
        <v>16.182661244590062</v>
      </c>
      <c r="E202" s="57">
        <v>3627.3026321721172</v>
      </c>
      <c r="F202" s="53">
        <v>9.4476776343663289</v>
      </c>
      <c r="G202" s="57">
        <v>611.39238644768773</v>
      </c>
    </row>
    <row r="203" spans="2:7" ht="15" customHeight="1" x14ac:dyDescent="0.35">
      <c r="B203" s="23" t="s">
        <v>39</v>
      </c>
      <c r="C203" s="53">
        <v>18.201896670006303</v>
      </c>
      <c r="D203" s="53">
        <v>24.049454309809722</v>
      </c>
      <c r="E203" s="57">
        <v>5390.6244221381585</v>
      </c>
      <c r="F203" s="53">
        <v>10.130842384512281</v>
      </c>
      <c r="G203" s="57">
        <v>655.60237572688766</v>
      </c>
    </row>
    <row r="204" spans="2:7" x14ac:dyDescent="0.35">
      <c r="B204" s="23" t="s">
        <v>40</v>
      </c>
      <c r="C204" s="53">
        <v>10.14508972054187</v>
      </c>
      <c r="D204" s="53">
        <v>8.4923512192630426</v>
      </c>
      <c r="E204" s="57">
        <v>1903.5390697102405</v>
      </c>
      <c r="F204" s="53">
        <v>6.0096430094983271</v>
      </c>
      <c r="G204" s="57">
        <v>388.90509641338798</v>
      </c>
    </row>
    <row r="205" spans="2:7" x14ac:dyDescent="0.35">
      <c r="B205" s="23" t="s">
        <v>5</v>
      </c>
      <c r="C205" s="53">
        <v>29.106606110872093</v>
      </c>
      <c r="D205" s="53">
        <v>37.996103314310552</v>
      </c>
      <c r="E205" s="57">
        <v>8516.7305600219097</v>
      </c>
      <c r="F205" s="53">
        <v>39.963983698653365</v>
      </c>
      <c r="G205" s="57">
        <v>2586.20968147745</v>
      </c>
    </row>
    <row r="206" spans="2:7" x14ac:dyDescent="0.35">
      <c r="B206" s="24" t="s">
        <v>18</v>
      </c>
      <c r="C206" s="53">
        <v>100.00000000000001</v>
      </c>
      <c r="D206" s="53">
        <v>100</v>
      </c>
      <c r="E206" s="53">
        <v>22414.747348089862</v>
      </c>
      <c r="F206" s="53">
        <v>100</v>
      </c>
      <c r="G206" s="53">
        <v>6471.3510569382888</v>
      </c>
    </row>
    <row r="207" spans="2:7" ht="5.15" customHeight="1" x14ac:dyDescent="0.35">
      <c r="B207" s="28"/>
    </row>
    <row r="208" spans="2:7" ht="15" thickBot="1" x14ac:dyDescent="0.4">
      <c r="B208" s="25" t="s">
        <v>19</v>
      </c>
      <c r="D208" s="58" t="s">
        <v>53</v>
      </c>
      <c r="E208" s="45" t="s">
        <v>51</v>
      </c>
      <c r="F208" s="58" t="s">
        <v>57</v>
      </c>
      <c r="G208" s="45" t="s">
        <v>55</v>
      </c>
    </row>
    <row r="209" spans="2:7" ht="5.15" customHeight="1" x14ac:dyDescent="0.35"/>
    <row r="210" spans="2:7" x14ac:dyDescent="0.35">
      <c r="B210" s="24" t="s">
        <v>20</v>
      </c>
      <c r="D210" s="56">
        <v>13.569712180261712</v>
      </c>
      <c r="E210" s="57">
        <v>97.179017299077884</v>
      </c>
      <c r="F210" s="56">
        <v>59.029568999999995</v>
      </c>
      <c r="G210" s="57">
        <v>775.73248076846062</v>
      </c>
    </row>
    <row r="211" spans="2:7" x14ac:dyDescent="0.35">
      <c r="B211" s="24" t="s">
        <v>21</v>
      </c>
      <c r="D211" s="56">
        <v>46.636874390518905</v>
      </c>
      <c r="E211" s="57">
        <v>663.39801144844239</v>
      </c>
      <c r="F211" s="56">
        <v>31.168430999999998</v>
      </c>
      <c r="G211" s="57">
        <v>409.59750699332722</v>
      </c>
    </row>
    <row r="212" spans="2:7" x14ac:dyDescent="0.35">
      <c r="B212" s="24" t="s">
        <v>22</v>
      </c>
      <c r="D212" s="56">
        <v>15.851889605072861</v>
      </c>
      <c r="E212" s="57">
        <v>157.30280527061709</v>
      </c>
      <c r="F212" s="56"/>
      <c r="G212" s="57">
        <v>0</v>
      </c>
    </row>
    <row r="213" spans="2:7" x14ac:dyDescent="0.35">
      <c r="B213" s="24" t="s">
        <v>23</v>
      </c>
      <c r="D213" s="56">
        <v>10.880700220229912</v>
      </c>
      <c r="E213" s="57">
        <v>69.728508256555955</v>
      </c>
      <c r="F213" s="56">
        <v>9.8019999999999996</v>
      </c>
      <c r="G213" s="57">
        <v>128.81221911839557</v>
      </c>
    </row>
    <row r="214" spans="2:7" x14ac:dyDescent="0.35">
      <c r="B214" s="16" t="s">
        <v>2</v>
      </c>
      <c r="D214" s="56">
        <v>3.3794585508419881</v>
      </c>
      <c r="E214" s="57">
        <v>1.5201272505009025</v>
      </c>
      <c r="F214" s="56"/>
      <c r="G214" s="57">
        <v>0</v>
      </c>
    </row>
    <row r="215" spans="2:7" x14ac:dyDescent="0.35">
      <c r="B215" s="16" t="s">
        <v>1</v>
      </c>
      <c r="D215" s="56">
        <v>9.6813655581251368</v>
      </c>
      <c r="E215" s="57">
        <v>2.0921513256701973</v>
      </c>
      <c r="F215" s="56"/>
      <c r="G215" s="57">
        <v>0</v>
      </c>
    </row>
    <row r="216" spans="2:7" x14ac:dyDescent="0.35">
      <c r="B216" s="24" t="s">
        <v>18</v>
      </c>
      <c r="D216" s="53">
        <v>100</v>
      </c>
      <c r="E216" s="53">
        <v>991.22062085086441</v>
      </c>
      <c r="F216" s="53">
        <v>100</v>
      </c>
      <c r="G216" s="53">
        <v>1314.1422068801835</v>
      </c>
    </row>
    <row r="217" spans="2:7" ht="5.15" customHeight="1" x14ac:dyDescent="0.35">
      <c r="D217" s="59"/>
      <c r="F217" s="59"/>
      <c r="G217" s="59"/>
    </row>
    <row r="218" spans="2:7" x14ac:dyDescent="0.35">
      <c r="B218" s="24" t="s">
        <v>26</v>
      </c>
      <c r="D218" s="57">
        <v>75.786079454270322</v>
      </c>
      <c r="E218" s="60">
        <v>762.66918007319043</v>
      </c>
      <c r="F218" s="57">
        <v>90.197999999999993</v>
      </c>
      <c r="G218" s="57">
        <v>1185.3299877617878</v>
      </c>
    </row>
    <row r="219" spans="2:7" x14ac:dyDescent="0.35">
      <c r="B219" s="24" t="s">
        <v>27</v>
      </c>
      <c r="D219" s="57">
        <v>22.711049695888494</v>
      </c>
      <c r="E219" s="60">
        <v>228.55144077767397</v>
      </c>
      <c r="F219" s="57">
        <v>9.8020000000000049</v>
      </c>
      <c r="G219" s="57">
        <v>128.81221911839566</v>
      </c>
    </row>
    <row r="220" spans="2:7" ht="5.15" customHeight="1" x14ac:dyDescent="0.35"/>
    <row r="221" spans="2:7" ht="15" thickBot="1" x14ac:dyDescent="0.4">
      <c r="B221" s="26" t="s">
        <v>28</v>
      </c>
      <c r="D221" s="58" t="s">
        <v>53</v>
      </c>
      <c r="E221" s="45" t="s">
        <v>51</v>
      </c>
      <c r="F221" s="58" t="s">
        <v>57</v>
      </c>
      <c r="G221" s="45" t="s">
        <v>55</v>
      </c>
    </row>
    <row r="222" spans="2:7" ht="5.15" customHeight="1" x14ac:dyDescent="0.35"/>
    <row r="223" spans="2:7" x14ac:dyDescent="0.35">
      <c r="B223" s="24" t="s">
        <v>20</v>
      </c>
      <c r="D223" s="56">
        <v>3.6374032512823233</v>
      </c>
      <c r="E223" s="57">
        <v>73.107636121160226</v>
      </c>
      <c r="F223" s="56">
        <v>56.684380027235413</v>
      </c>
      <c r="G223" s="57">
        <v>518.71837050286615</v>
      </c>
    </row>
    <row r="224" spans="2:7" x14ac:dyDescent="0.35">
      <c r="B224" s="24" t="s">
        <v>21</v>
      </c>
      <c r="D224" s="56">
        <v>58.174376820403275</v>
      </c>
      <c r="E224" s="57">
        <v>1098.1413884218487</v>
      </c>
      <c r="F224" s="56">
        <v>19.913192777762788</v>
      </c>
      <c r="G224" s="57">
        <v>182.22548970682172</v>
      </c>
    </row>
    <row r="225" spans="2:8" x14ac:dyDescent="0.35">
      <c r="B225" s="24" t="s">
        <v>22</v>
      </c>
      <c r="D225" s="56">
        <v>27.138041115700844</v>
      </c>
      <c r="E225" s="57">
        <v>570.59303084165458</v>
      </c>
      <c r="F225" s="56"/>
      <c r="G225" s="57">
        <v>0</v>
      </c>
    </row>
    <row r="226" spans="2:8" x14ac:dyDescent="0.35">
      <c r="B226" s="24" t="s">
        <v>23</v>
      </c>
      <c r="D226" s="56">
        <v>10.763755928502926</v>
      </c>
      <c r="E226" s="57">
        <v>203.23810493239287</v>
      </c>
      <c r="F226" s="56">
        <v>23.402427195001799</v>
      </c>
      <c r="G226" s="57">
        <v>214.15544978300338</v>
      </c>
    </row>
    <row r="227" spans="2:8" x14ac:dyDescent="0.35">
      <c r="B227" s="16" t="s">
        <v>2</v>
      </c>
      <c r="D227" s="56">
        <v>8.0147523682156038E-2</v>
      </c>
      <c r="E227" s="57">
        <v>2.2105347351929647</v>
      </c>
      <c r="F227" s="56"/>
      <c r="G227" s="57">
        <v>0</v>
      </c>
    </row>
    <row r="228" spans="2:8" x14ac:dyDescent="0.35">
      <c r="B228" s="16" t="s">
        <v>1</v>
      </c>
      <c r="D228" s="56">
        <v>0.20624468664139581</v>
      </c>
      <c r="E228" s="57">
        <v>3.044791493529583</v>
      </c>
      <c r="F228" s="56"/>
      <c r="G228" s="57">
        <v>0</v>
      </c>
    </row>
    <row r="229" spans="2:8" x14ac:dyDescent="0.35">
      <c r="B229" s="24" t="s">
        <v>18</v>
      </c>
      <c r="D229" s="53">
        <v>99.999969326212934</v>
      </c>
      <c r="E229" s="53">
        <v>1950.3354865457791</v>
      </c>
      <c r="F229" s="53">
        <v>100</v>
      </c>
      <c r="G229" s="53">
        <v>915.09930999269125</v>
      </c>
    </row>
    <row r="230" spans="2:8" ht="5.15" customHeight="1" x14ac:dyDescent="0.35">
      <c r="D230" s="59"/>
      <c r="E230" s="59"/>
      <c r="F230" s="59"/>
      <c r="G230" s="59"/>
    </row>
    <row r="231" spans="2:8" x14ac:dyDescent="0.35">
      <c r="B231" s="24" t="s">
        <v>26</v>
      </c>
      <c r="D231" s="57">
        <v>59.602591128575732</v>
      </c>
      <c r="E231" s="60">
        <v>1174.2938160365386</v>
      </c>
      <c r="F231" s="57">
        <v>76.597572804998208</v>
      </c>
      <c r="G231" s="57">
        <v>700.94386020968784</v>
      </c>
      <c r="H231" s="12"/>
    </row>
    <row r="232" spans="2:8" x14ac:dyDescent="0.35">
      <c r="B232" s="24" t="s">
        <v>27</v>
      </c>
      <c r="D232" s="57">
        <v>39.388859716740541</v>
      </c>
      <c r="E232" s="57">
        <v>776.04167050924048</v>
      </c>
      <c r="F232" s="57">
        <v>23.402427195001803</v>
      </c>
      <c r="G232" s="57">
        <v>214.15544978300341</v>
      </c>
    </row>
    <row r="233" spans="2:8" ht="5.15" customHeight="1" x14ac:dyDescent="0.35"/>
    <row r="234" spans="2:8" ht="15" thickBot="1" x14ac:dyDescent="0.4">
      <c r="B234" s="26" t="s">
        <v>29</v>
      </c>
      <c r="D234" s="58" t="s">
        <v>53</v>
      </c>
      <c r="E234" s="45" t="s">
        <v>51</v>
      </c>
      <c r="F234" s="58" t="s">
        <v>57</v>
      </c>
      <c r="G234" s="45" t="s">
        <v>55</v>
      </c>
    </row>
    <row r="235" spans="2:8" ht="5.15" customHeight="1" x14ac:dyDescent="0.35"/>
    <row r="236" spans="2:8" x14ac:dyDescent="0.35">
      <c r="B236" s="24" t="s">
        <v>20</v>
      </c>
      <c r="D236" s="56">
        <v>4.9303815900438996</v>
      </c>
      <c r="E236" s="57">
        <v>159.89344655933638</v>
      </c>
      <c r="F236" s="56">
        <v>44.260971777357412</v>
      </c>
      <c r="G236" s="57">
        <v>270.60821161452304</v>
      </c>
    </row>
    <row r="237" spans="2:8" x14ac:dyDescent="0.35">
      <c r="B237" s="24" t="s">
        <v>21</v>
      </c>
      <c r="D237" s="56">
        <v>48.014809812927069</v>
      </c>
      <c r="E237" s="57">
        <v>1575.0851076931465</v>
      </c>
      <c r="F237" s="56">
        <v>9.9675024565788775</v>
      </c>
      <c r="G237" s="57">
        <v>60.940551138509498</v>
      </c>
    </row>
    <row r="238" spans="2:8" x14ac:dyDescent="0.35">
      <c r="B238" s="24" t="s">
        <v>22</v>
      </c>
      <c r="D238" s="56">
        <v>42.10268364105292</v>
      </c>
      <c r="E238" s="57">
        <v>1724.8611848945316</v>
      </c>
      <c r="F238" s="56"/>
      <c r="G238" s="57">
        <v>0</v>
      </c>
    </row>
    <row r="239" spans="2:8" x14ac:dyDescent="0.35">
      <c r="B239" s="24" t="s">
        <v>23</v>
      </c>
      <c r="D239" s="56">
        <v>4.8607138194570281</v>
      </c>
      <c r="E239" s="57">
        <v>173.22169848323179</v>
      </c>
      <c r="F239" s="56">
        <v>45.771525766063704</v>
      </c>
      <c r="G239" s="57">
        <v>279.84362369465515</v>
      </c>
    </row>
    <row r="240" spans="2:8" x14ac:dyDescent="0.35">
      <c r="B240" s="16" t="s">
        <v>2</v>
      </c>
      <c r="D240" s="56">
        <v>6.9217957172179143E-2</v>
      </c>
      <c r="E240" s="57">
        <v>1.0127527540740915</v>
      </c>
      <c r="F240" s="56"/>
      <c r="G240" s="57"/>
    </row>
    <row r="241" spans="2:8" x14ac:dyDescent="0.35">
      <c r="B241" s="16" t="s">
        <v>1</v>
      </c>
      <c r="D241" s="56">
        <v>2.2186046189961728E-2</v>
      </c>
      <c r="E241" s="57">
        <v>1.5763867401743876</v>
      </c>
      <c r="F241" s="56"/>
      <c r="G241" s="57"/>
    </row>
    <row r="242" spans="2:8" x14ac:dyDescent="0.35">
      <c r="B242" s="24" t="s">
        <v>18</v>
      </c>
      <c r="D242" s="53">
        <v>99.999992866843073</v>
      </c>
      <c r="E242" s="53">
        <v>3635.6505771244942</v>
      </c>
      <c r="F242" s="53">
        <v>100</v>
      </c>
      <c r="G242" s="53">
        <v>611.39238644768761</v>
      </c>
    </row>
    <row r="243" spans="2:8" ht="5.15" customHeight="1" x14ac:dyDescent="0.35">
      <c r="D243" s="59"/>
      <c r="E243" s="59"/>
      <c r="F243" s="59"/>
      <c r="G243" s="59"/>
    </row>
    <row r="244" spans="2:8" x14ac:dyDescent="0.35">
      <c r="B244" s="24" t="s">
        <v>26</v>
      </c>
      <c r="D244" s="57">
        <v>47.874553548148967</v>
      </c>
      <c r="E244" s="60">
        <v>1736.5549409926573</v>
      </c>
      <c r="F244" s="57">
        <v>54.228474233936282</v>
      </c>
      <c r="G244" s="57">
        <v>331.54876275303252</v>
      </c>
      <c r="H244" s="12"/>
    </row>
    <row r="245" spans="2:8" x14ac:dyDescent="0.35">
      <c r="B245" s="24" t="s">
        <v>27</v>
      </c>
      <c r="D245" s="57">
        <v>52.355588400260174</v>
      </c>
      <c r="E245" s="57">
        <v>1899.095636131837</v>
      </c>
      <c r="F245" s="57">
        <v>45.771525766063689</v>
      </c>
      <c r="G245" s="57">
        <v>279.84362369465509</v>
      </c>
    </row>
    <row r="246" spans="2:8" ht="5.15" customHeight="1" x14ac:dyDescent="0.35"/>
    <row r="247" spans="2:8" ht="15" thickBot="1" x14ac:dyDescent="0.4">
      <c r="B247" s="26" t="s">
        <v>30</v>
      </c>
      <c r="D247" s="58" t="s">
        <v>53</v>
      </c>
      <c r="E247" s="45" t="s">
        <v>51</v>
      </c>
      <c r="F247" s="58" t="s">
        <v>57</v>
      </c>
      <c r="G247" s="45" t="s">
        <v>55</v>
      </c>
    </row>
    <row r="248" spans="2:8" ht="5.15" customHeight="1" x14ac:dyDescent="0.35"/>
    <row r="249" spans="2:8" x14ac:dyDescent="0.35">
      <c r="B249" s="24" t="s">
        <v>20</v>
      </c>
      <c r="D249" s="56">
        <v>20.41553036255161</v>
      </c>
      <c r="E249" s="57">
        <v>492.83798598479939</v>
      </c>
      <c r="F249" s="56">
        <v>45.602466359511524</v>
      </c>
      <c r="G249" s="57">
        <v>298.97085284301227</v>
      </c>
    </row>
    <row r="250" spans="2:8" x14ac:dyDescent="0.35">
      <c r="B250" s="24" t="s">
        <v>21</v>
      </c>
      <c r="D250" s="56">
        <v>28.095453333509948</v>
      </c>
      <c r="E250" s="57">
        <v>1213.916533495742</v>
      </c>
      <c r="F250" s="56">
        <v>5.0516516553370341</v>
      </c>
      <c r="G250" s="57">
        <v>33.118748265836238</v>
      </c>
    </row>
    <row r="251" spans="2:8" x14ac:dyDescent="0.35">
      <c r="B251" s="24" t="s">
        <v>22</v>
      </c>
      <c r="D251" s="56">
        <v>42.080979671400911</v>
      </c>
      <c r="E251" s="57">
        <v>3208.9737523380786</v>
      </c>
      <c r="F251" s="56"/>
      <c r="G251" s="57">
        <v>0</v>
      </c>
    </row>
    <row r="252" spans="2:8" x14ac:dyDescent="0.35">
      <c r="B252" s="24" t="s">
        <v>23</v>
      </c>
      <c r="D252" s="56">
        <v>9.1381193208268456</v>
      </c>
      <c r="E252" s="57">
        <v>491.11827985881104</v>
      </c>
      <c r="F252" s="56">
        <v>49.345881985151443</v>
      </c>
      <c r="G252" s="57">
        <v>323.51277461803915</v>
      </c>
    </row>
    <row r="253" spans="2:8" x14ac:dyDescent="0.35">
      <c r="B253" s="16" t="s">
        <v>2</v>
      </c>
      <c r="D253" s="56">
        <v>0.19509950102137105</v>
      </c>
      <c r="E253" s="57">
        <v>0.96040959349556032</v>
      </c>
      <c r="F253" s="56"/>
      <c r="G253" s="57"/>
    </row>
    <row r="254" spans="2:8" x14ac:dyDescent="0.35">
      <c r="B254" s="16" t="s">
        <v>1</v>
      </c>
      <c r="D254" s="56">
        <v>7.4817810689325706E-2</v>
      </c>
      <c r="E254" s="57">
        <v>2.4764268253528399</v>
      </c>
      <c r="F254" s="56"/>
      <c r="G254" s="57"/>
    </row>
    <row r="255" spans="2:8" x14ac:dyDescent="0.35">
      <c r="B255" s="24" t="s">
        <v>18</v>
      </c>
      <c r="D255" s="53">
        <v>100.00000000000001</v>
      </c>
      <c r="E255" s="53">
        <v>5410.2833880962789</v>
      </c>
      <c r="F255" s="53">
        <v>100</v>
      </c>
      <c r="G255" s="53">
        <v>655.60237572688766</v>
      </c>
    </row>
    <row r="256" spans="2:8" ht="5.15" customHeight="1" x14ac:dyDescent="0.35">
      <c r="D256" s="59"/>
      <c r="E256" s="59"/>
      <c r="F256" s="59"/>
      <c r="G256" s="59"/>
    </row>
    <row r="257" spans="2:8" x14ac:dyDescent="0.35">
      <c r="B257" s="24" t="s">
        <v>26</v>
      </c>
      <c r="D257" s="57">
        <v>31.707476026087868</v>
      </c>
      <c r="E257" s="60">
        <v>1709.2309463058941</v>
      </c>
      <c r="F257" s="57">
        <v>50.654118014848557</v>
      </c>
      <c r="G257" s="57">
        <v>332.08960110884851</v>
      </c>
      <c r="H257" s="12"/>
    </row>
    <row r="258" spans="2:8" x14ac:dyDescent="0.35">
      <c r="B258" s="24" t="s">
        <v>27</v>
      </c>
      <c r="D258" s="57">
        <v>68.657212077156444</v>
      </c>
      <c r="E258" s="57">
        <v>3701.0524417903848</v>
      </c>
      <c r="F258" s="57">
        <v>49.345881985151443</v>
      </c>
      <c r="G258" s="57">
        <v>323.51277461803915</v>
      </c>
    </row>
    <row r="259" spans="2:8" ht="5.15" customHeight="1" x14ac:dyDescent="0.35"/>
    <row r="260" spans="2:8" ht="15" thickBot="1" x14ac:dyDescent="0.4">
      <c r="B260" s="27" t="s">
        <v>31</v>
      </c>
      <c r="D260" s="58" t="s">
        <v>53</v>
      </c>
      <c r="E260" s="45" t="s">
        <v>51</v>
      </c>
      <c r="F260" s="58" t="s">
        <v>57</v>
      </c>
      <c r="G260" s="45" t="s">
        <v>55</v>
      </c>
    </row>
    <row r="261" spans="2:8" ht="5.15" customHeight="1" x14ac:dyDescent="0.35"/>
    <row r="262" spans="2:8" x14ac:dyDescent="0.35">
      <c r="B262" s="24" t="s">
        <v>20</v>
      </c>
      <c r="D262" s="56">
        <v>22.26328221998682</v>
      </c>
      <c r="E262" s="57">
        <v>161.71889891924368</v>
      </c>
      <c r="F262" s="56">
        <v>28.534649336073496</v>
      </c>
      <c r="G262" s="57">
        <v>110.97270551167881</v>
      </c>
    </row>
    <row r="263" spans="2:8" x14ac:dyDescent="0.35">
      <c r="B263" s="24" t="s">
        <v>21</v>
      </c>
      <c r="D263" s="56">
        <v>19.272117066308439</v>
      </c>
      <c r="E263" s="57">
        <v>203.68262834883382</v>
      </c>
      <c r="F263" s="56">
        <v>2.6858672384818663</v>
      </c>
      <c r="G263" s="57">
        <v>10.445474573353504</v>
      </c>
    </row>
    <row r="264" spans="2:8" x14ac:dyDescent="0.35">
      <c r="B264" s="24" t="s">
        <v>22</v>
      </c>
      <c r="D264" s="56">
        <v>54.72683560082703</v>
      </c>
      <c r="E264" s="57">
        <v>1471.5495818367879</v>
      </c>
      <c r="F264" s="56"/>
      <c r="G264" s="57">
        <v>0</v>
      </c>
    </row>
    <row r="265" spans="2:8" x14ac:dyDescent="0.35">
      <c r="B265" s="24" t="s">
        <v>23</v>
      </c>
      <c r="D265" s="56">
        <v>3.1784544842756524</v>
      </c>
      <c r="E265" s="57">
        <v>59.339222197339083</v>
      </c>
      <c r="F265" s="56">
        <v>68.779483425444639</v>
      </c>
      <c r="G265" s="57">
        <v>267.48691632835568</v>
      </c>
    </row>
    <row r="266" spans="2:8" x14ac:dyDescent="0.35">
      <c r="B266" s="16" t="s">
        <v>2</v>
      </c>
      <c r="D266" s="56">
        <v>0.24870778800067997</v>
      </c>
      <c r="E266" s="57">
        <v>0.45480102029221686</v>
      </c>
      <c r="F266" s="56"/>
      <c r="G266" s="57"/>
    </row>
    <row r="267" spans="2:8" x14ac:dyDescent="0.35">
      <c r="B267" s="16" t="s">
        <v>1</v>
      </c>
      <c r="D267" s="56">
        <v>0.3106028406013745</v>
      </c>
      <c r="E267" s="57">
        <v>12.681859819319145</v>
      </c>
      <c r="F267" s="56"/>
      <c r="G267" s="57"/>
    </row>
    <row r="268" spans="2:8" ht="14.5" hidden="1" customHeight="1" x14ac:dyDescent="0.35">
      <c r="B268" s="16" t="s">
        <v>24</v>
      </c>
      <c r="D268" s="56"/>
      <c r="E268" s="57">
        <v>0</v>
      </c>
      <c r="F268" s="56"/>
      <c r="G268" s="57"/>
    </row>
    <row r="269" spans="2:8" ht="14.5" hidden="1" customHeight="1" x14ac:dyDescent="0.35">
      <c r="B269" s="16" t="s">
        <v>25</v>
      </c>
      <c r="D269" s="56"/>
      <c r="E269" s="57">
        <v>0</v>
      </c>
      <c r="F269" s="56"/>
      <c r="G269" s="57"/>
    </row>
    <row r="270" spans="2:8" x14ac:dyDescent="0.35">
      <c r="B270" s="24" t="s">
        <v>18</v>
      </c>
      <c r="D270" s="53">
        <v>100</v>
      </c>
      <c r="E270" s="53">
        <v>1909.4269921418158</v>
      </c>
      <c r="F270" s="53">
        <v>100</v>
      </c>
      <c r="G270" s="53">
        <v>388.90509641338798</v>
      </c>
    </row>
    <row r="271" spans="2:8" ht="5.15" customHeight="1" x14ac:dyDescent="0.35">
      <c r="D271" s="59"/>
      <c r="E271" s="59"/>
      <c r="F271" s="59"/>
      <c r="G271" s="59"/>
    </row>
    <row r="272" spans="2:8" x14ac:dyDescent="0.35">
      <c r="B272" s="24" t="s">
        <v>26</v>
      </c>
      <c r="D272" s="57">
        <v>19.862129078598269</v>
      </c>
      <c r="E272" s="60">
        <v>378.08338708739666</v>
      </c>
      <c r="F272" s="57">
        <v>31.220516574555369</v>
      </c>
      <c r="G272" s="57">
        <v>121.41818008503232</v>
      </c>
      <c r="H272" s="12"/>
    </row>
    <row r="273" spans="2:7" x14ac:dyDescent="0.35">
      <c r="B273" s="24" t="s">
        <v>27</v>
      </c>
      <c r="D273" s="57">
        <v>80.447185425383609</v>
      </c>
      <c r="E273" s="57">
        <v>1531.3436050544192</v>
      </c>
      <c r="F273" s="57">
        <v>68.779483425444639</v>
      </c>
      <c r="G273" s="57">
        <v>267.48691632835568</v>
      </c>
    </row>
    <row r="274" spans="2:7" ht="5.15" customHeight="1" x14ac:dyDescent="0.35">
      <c r="B274" s="28"/>
    </row>
    <row r="275" spans="2:7" ht="15" thickBot="1" x14ac:dyDescent="0.4">
      <c r="B275" s="27" t="s">
        <v>32</v>
      </c>
      <c r="D275" s="58" t="s">
        <v>53</v>
      </c>
      <c r="E275" s="45" t="s">
        <v>51</v>
      </c>
      <c r="F275" s="58" t="s">
        <v>57</v>
      </c>
      <c r="G275" s="45" t="s">
        <v>55</v>
      </c>
    </row>
    <row r="276" spans="2:7" ht="5.15" customHeight="1" x14ac:dyDescent="0.35"/>
    <row r="277" spans="2:7" x14ac:dyDescent="0.35">
      <c r="B277" s="24" t="s">
        <v>20</v>
      </c>
      <c r="D277" s="56">
        <v>34.517520453385991</v>
      </c>
      <c r="E277" s="57">
        <v>2417.1409037729563</v>
      </c>
      <c r="F277" s="56">
        <v>25.779804226376456</v>
      </c>
      <c r="G277" s="57">
        <v>666.71979276848072</v>
      </c>
    </row>
    <row r="278" spans="2:7" x14ac:dyDescent="0.35">
      <c r="B278" s="24" t="s">
        <v>21</v>
      </c>
      <c r="D278" s="56">
        <v>5.4536272908601182</v>
      </c>
      <c r="E278" s="57">
        <v>156.75867835259305</v>
      </c>
      <c r="F278" s="56">
        <v>3.1095306386312216</v>
      </c>
      <c r="G278" s="57">
        <v>80.418982424788226</v>
      </c>
    </row>
    <row r="279" spans="2:7" x14ac:dyDescent="0.35">
      <c r="B279" s="24" t="s">
        <v>22</v>
      </c>
      <c r="D279" s="56">
        <v>51.224776269369535</v>
      </c>
      <c r="E279" s="57">
        <v>5285.6944272823093</v>
      </c>
      <c r="F279" s="56"/>
      <c r="G279" s="57">
        <v>0</v>
      </c>
    </row>
    <row r="280" spans="2:7" x14ac:dyDescent="0.35">
      <c r="B280" s="24" t="s">
        <v>23</v>
      </c>
      <c r="D280" s="56">
        <v>7.5093073009346751</v>
      </c>
      <c r="E280" s="57">
        <v>621.26508302128138</v>
      </c>
      <c r="F280" s="56">
        <v>71.110665134992331</v>
      </c>
      <c r="G280" s="57">
        <v>1839.0709062841813</v>
      </c>
    </row>
    <row r="281" spans="2:7" x14ac:dyDescent="0.35">
      <c r="B281" s="16" t="s">
        <v>2</v>
      </c>
      <c r="D281" s="56">
        <v>1.1910208577675776</v>
      </c>
      <c r="E281" s="57">
        <v>22.174403621229807</v>
      </c>
      <c r="F281" s="56"/>
      <c r="G281" s="57">
        <v>0</v>
      </c>
    </row>
    <row r="282" spans="2:7" x14ac:dyDescent="0.35">
      <c r="B282" s="16" t="s">
        <v>1</v>
      </c>
      <c r="D282" s="56">
        <v>0.10389132398595254</v>
      </c>
      <c r="E282" s="57">
        <v>16.504565000910539</v>
      </c>
      <c r="F282" s="56"/>
      <c r="G282" s="57"/>
    </row>
    <row r="283" spans="2:7" x14ac:dyDescent="0.35">
      <c r="B283" s="24" t="s">
        <v>18</v>
      </c>
      <c r="D283" s="53">
        <v>100.00014349630385</v>
      </c>
      <c r="E283" s="53">
        <v>8519.5380610512802</v>
      </c>
      <c r="F283" s="53">
        <v>100</v>
      </c>
      <c r="G283" s="53">
        <v>2586.2096814774504</v>
      </c>
    </row>
    <row r="284" spans="2:7" ht="5.15" customHeight="1" x14ac:dyDescent="0.35">
      <c r="D284" s="59"/>
      <c r="E284" s="59"/>
      <c r="F284" s="59"/>
      <c r="G284" s="59"/>
    </row>
    <row r="285" spans="2:7" x14ac:dyDescent="0.35">
      <c r="B285" s="24" t="s">
        <v>26</v>
      </c>
      <c r="D285" s="57">
        <v>30.415476089921011</v>
      </c>
      <c r="E285" s="60">
        <v>2590.40414712646</v>
      </c>
      <c r="F285" s="57">
        <v>28.889334865007676</v>
      </c>
      <c r="G285" s="57">
        <v>747.13877519326888</v>
      </c>
    </row>
    <row r="286" spans="2:7" x14ac:dyDescent="0.35">
      <c r="B286" s="24" t="s">
        <v>27</v>
      </c>
      <c r="D286" s="57">
        <v>69.617488449811518</v>
      </c>
      <c r="E286" s="57">
        <v>5929.1339139248203</v>
      </c>
      <c r="F286" s="57">
        <v>71.110665134992345</v>
      </c>
      <c r="G286" s="57">
        <v>1839.0709062841815</v>
      </c>
    </row>
    <row r="287" spans="2:7" ht="5.15" customHeight="1" x14ac:dyDescent="0.35"/>
    <row r="288" spans="2:7" x14ac:dyDescent="0.35">
      <c r="B288" s="24" t="s">
        <v>33</v>
      </c>
      <c r="D288" s="57">
        <v>37.257776266364253</v>
      </c>
      <c r="E288" s="57">
        <v>8351.2364176221363</v>
      </c>
      <c r="F288" s="57">
        <v>52.824659596337774</v>
      </c>
      <c r="G288" s="57">
        <v>3418.469167111658</v>
      </c>
    </row>
    <row r="289" spans="2:7" x14ac:dyDescent="0.35">
      <c r="B289" s="24" t="s">
        <v>34</v>
      </c>
      <c r="D289" s="57">
        <v>62.74984272524928</v>
      </c>
      <c r="E289" s="57">
        <v>14065.218708188375</v>
      </c>
      <c r="F289" s="57">
        <v>47.175340403662211</v>
      </c>
      <c r="G289" s="57">
        <v>3052.8818898266304</v>
      </c>
    </row>
    <row r="290" spans="2:7" ht="5.15" customHeight="1" x14ac:dyDescent="0.35"/>
    <row r="291" spans="2:7" x14ac:dyDescent="0.35">
      <c r="B291" s="24" t="s">
        <v>18</v>
      </c>
      <c r="D291" s="62"/>
      <c r="E291" s="63">
        <v>22416.455125810513</v>
      </c>
      <c r="F291" s="62"/>
      <c r="G291" s="53">
        <v>6471.3510569382888</v>
      </c>
    </row>
  </sheetData>
  <conditionalFormatting sqref="F28 C28:D28">
    <cfRule type="cellIs" dxfId="240" priority="241" operator="equal">
      <formula>100</formula>
    </cfRule>
  </conditionalFormatting>
  <conditionalFormatting sqref="F28 C28:D28">
    <cfRule type="cellIs" dxfId="239" priority="240" operator="greaterThan">
      <formula>100</formula>
    </cfRule>
  </conditionalFormatting>
  <conditionalFormatting sqref="F28 C28:D28">
    <cfRule type="cellIs" dxfId="238" priority="239" operator="lessThan">
      <formula>100</formula>
    </cfRule>
  </conditionalFormatting>
  <conditionalFormatting sqref="E28">
    <cfRule type="cellIs" dxfId="237" priority="236" operator="lessThan">
      <formula>$E$18</formula>
    </cfRule>
    <cfRule type="cellIs" dxfId="236" priority="237" operator="greaterThan">
      <formula>$E$18</formula>
    </cfRule>
    <cfRule type="cellIs" dxfId="235" priority="238" operator="equal">
      <formula>$E$18</formula>
    </cfRule>
  </conditionalFormatting>
  <conditionalFormatting sqref="G28">
    <cfRule type="cellIs" dxfId="234" priority="233" operator="lessThan">
      <formula>$G$18</formula>
    </cfRule>
    <cfRule type="cellIs" dxfId="233" priority="234" operator="greaterThan">
      <formula>$G$18</formula>
    </cfRule>
    <cfRule type="cellIs" dxfId="232" priority="235" operator="equal">
      <formula>$G$18</formula>
    </cfRule>
  </conditionalFormatting>
  <conditionalFormatting sqref="E51">
    <cfRule type="cellIs" dxfId="231" priority="230" operator="lessThan">
      <formula>$E$23</formula>
    </cfRule>
    <cfRule type="cellIs" dxfId="230" priority="231" operator="greaterThan">
      <formula>$E$23</formula>
    </cfRule>
    <cfRule type="cellIs" dxfId="229" priority="232" operator="equal">
      <formula>$E$23</formula>
    </cfRule>
  </conditionalFormatting>
  <conditionalFormatting sqref="F51">
    <cfRule type="cellIs" dxfId="228" priority="229" operator="equal">
      <formula>100</formula>
    </cfRule>
  </conditionalFormatting>
  <conditionalFormatting sqref="F51">
    <cfRule type="cellIs" dxfId="227" priority="228" operator="greaterThan">
      <formula>100</formula>
    </cfRule>
  </conditionalFormatting>
  <conditionalFormatting sqref="F51">
    <cfRule type="cellIs" dxfId="226" priority="227" operator="lessThan">
      <formula>100</formula>
    </cfRule>
  </conditionalFormatting>
  <conditionalFormatting sqref="G51">
    <cfRule type="cellIs" dxfId="225" priority="224" operator="lessThan">
      <formula>$G$23</formula>
    </cfRule>
    <cfRule type="cellIs" dxfId="224" priority="225" operator="greaterThan">
      <formula>$G$23</formula>
    </cfRule>
    <cfRule type="cellIs" dxfId="223" priority="226" operator="equal">
      <formula>$G$23</formula>
    </cfRule>
  </conditionalFormatting>
  <conditionalFormatting sqref="E111">
    <cfRule type="cellIs" dxfId="222" priority="197" operator="lessThan">
      <formula>$E$18</formula>
    </cfRule>
    <cfRule type="cellIs" dxfId="221" priority="198" operator="greaterThan">
      <formula>$E$18</formula>
    </cfRule>
    <cfRule type="cellIs" dxfId="220" priority="223" operator="equal">
      <formula>$E$18</formula>
    </cfRule>
  </conditionalFormatting>
  <conditionalFormatting sqref="D64">
    <cfRule type="cellIs" dxfId="219" priority="222" operator="equal">
      <formula>100</formula>
    </cfRule>
  </conditionalFormatting>
  <conditionalFormatting sqref="D64">
    <cfRule type="cellIs" dxfId="218" priority="221" operator="greaterThan">
      <formula>100</formula>
    </cfRule>
  </conditionalFormatting>
  <conditionalFormatting sqref="D64">
    <cfRule type="cellIs" dxfId="217" priority="220" operator="lessThan">
      <formula>100</formula>
    </cfRule>
  </conditionalFormatting>
  <conditionalFormatting sqref="F64">
    <cfRule type="cellIs" dxfId="216" priority="219" operator="equal">
      <formula>100</formula>
    </cfRule>
  </conditionalFormatting>
  <conditionalFormatting sqref="F64">
    <cfRule type="cellIs" dxfId="215" priority="218" operator="greaterThan">
      <formula>100</formula>
    </cfRule>
  </conditionalFormatting>
  <conditionalFormatting sqref="F64">
    <cfRule type="cellIs" dxfId="214" priority="217" operator="lessThan">
      <formula>100</formula>
    </cfRule>
  </conditionalFormatting>
  <conditionalFormatting sqref="E64">
    <cfRule type="cellIs" dxfId="213" priority="214" operator="lessThan">
      <formula>$E$24</formula>
    </cfRule>
    <cfRule type="cellIs" dxfId="212" priority="215" operator="greaterThan">
      <formula>$E$24</formula>
    </cfRule>
    <cfRule type="cellIs" dxfId="211" priority="216" operator="equal">
      <formula>$E$24</formula>
    </cfRule>
  </conditionalFormatting>
  <conditionalFormatting sqref="G64">
    <cfRule type="cellIs" dxfId="210" priority="211" operator="lessThan">
      <formula>$G$24</formula>
    </cfRule>
    <cfRule type="cellIs" dxfId="209" priority="212" operator="greaterThan">
      <formula>$G$24</formula>
    </cfRule>
    <cfRule type="cellIs" dxfId="208" priority="213" operator="equal">
      <formula>$G$24</formula>
    </cfRule>
  </conditionalFormatting>
  <conditionalFormatting sqref="D77">
    <cfRule type="cellIs" dxfId="207" priority="210" operator="equal">
      <formula>100</formula>
    </cfRule>
  </conditionalFormatting>
  <conditionalFormatting sqref="D77">
    <cfRule type="cellIs" dxfId="206" priority="209" operator="greaterThan">
      <formula>100</formula>
    </cfRule>
  </conditionalFormatting>
  <conditionalFormatting sqref="D77">
    <cfRule type="cellIs" dxfId="205" priority="208" operator="lessThan">
      <formula>100</formula>
    </cfRule>
  </conditionalFormatting>
  <conditionalFormatting sqref="F77">
    <cfRule type="cellIs" dxfId="204" priority="207" operator="equal">
      <formula>100</formula>
    </cfRule>
  </conditionalFormatting>
  <conditionalFormatting sqref="F77">
    <cfRule type="cellIs" dxfId="203" priority="206" operator="greaterThan">
      <formula>100</formula>
    </cfRule>
  </conditionalFormatting>
  <conditionalFormatting sqref="F77">
    <cfRule type="cellIs" dxfId="202" priority="205" operator="lessThan">
      <formula>100</formula>
    </cfRule>
  </conditionalFormatting>
  <conditionalFormatting sqref="E77">
    <cfRule type="cellIs" dxfId="201" priority="202" operator="lessThan">
      <formula>$E$25</formula>
    </cfRule>
    <cfRule type="cellIs" dxfId="200" priority="203" operator="greaterThan">
      <formula>$E$25</formula>
    </cfRule>
    <cfRule type="cellIs" dxfId="199" priority="204" operator="equal">
      <formula>$E$25</formula>
    </cfRule>
  </conditionalFormatting>
  <conditionalFormatting sqref="G77">
    <cfRule type="cellIs" dxfId="198" priority="199" operator="lessThan">
      <formula>$G$25</formula>
    </cfRule>
    <cfRule type="cellIs" dxfId="197" priority="200" operator="greaterThan">
      <formula>$G$25</formula>
    </cfRule>
    <cfRule type="cellIs" dxfId="196" priority="201" operator="equal">
      <formula>$G$25</formula>
    </cfRule>
  </conditionalFormatting>
  <conditionalFormatting sqref="G111">
    <cfRule type="cellIs" dxfId="195" priority="194" operator="lessThan">
      <formula>$G$28</formula>
    </cfRule>
    <cfRule type="cellIs" dxfId="194" priority="195" operator="greaterThan">
      <formula>$G$28</formula>
    </cfRule>
    <cfRule type="cellIs" dxfId="193" priority="196" operator="equal">
      <formula>$G$28</formula>
    </cfRule>
  </conditionalFormatting>
  <conditionalFormatting sqref="D90">
    <cfRule type="cellIs" dxfId="192" priority="193" operator="equal">
      <formula>100</formula>
    </cfRule>
  </conditionalFormatting>
  <conditionalFormatting sqref="D90">
    <cfRule type="cellIs" dxfId="191" priority="192" operator="greaterThan">
      <formula>100</formula>
    </cfRule>
  </conditionalFormatting>
  <conditionalFormatting sqref="D90">
    <cfRule type="cellIs" dxfId="190" priority="191" operator="lessThan">
      <formula>100</formula>
    </cfRule>
  </conditionalFormatting>
  <conditionalFormatting sqref="F90">
    <cfRule type="cellIs" dxfId="189" priority="190" operator="equal">
      <formula>100</formula>
    </cfRule>
  </conditionalFormatting>
  <conditionalFormatting sqref="F90">
    <cfRule type="cellIs" dxfId="188" priority="189" operator="greaterThan">
      <formula>100</formula>
    </cfRule>
  </conditionalFormatting>
  <conditionalFormatting sqref="F90">
    <cfRule type="cellIs" dxfId="187" priority="188" operator="lessThan">
      <formula>100</formula>
    </cfRule>
  </conditionalFormatting>
  <conditionalFormatting sqref="D103">
    <cfRule type="cellIs" dxfId="186" priority="187" operator="equal">
      <formula>100</formula>
    </cfRule>
  </conditionalFormatting>
  <conditionalFormatting sqref="D103">
    <cfRule type="cellIs" dxfId="185" priority="186" operator="greaterThan">
      <formula>100</formula>
    </cfRule>
  </conditionalFormatting>
  <conditionalFormatting sqref="D103">
    <cfRule type="cellIs" dxfId="184" priority="185" operator="lessThan">
      <formula>100</formula>
    </cfRule>
  </conditionalFormatting>
  <conditionalFormatting sqref="F103">
    <cfRule type="cellIs" dxfId="183" priority="184" operator="equal">
      <formula>100</formula>
    </cfRule>
  </conditionalFormatting>
  <conditionalFormatting sqref="F103">
    <cfRule type="cellIs" dxfId="182" priority="183" operator="greaterThan">
      <formula>100</formula>
    </cfRule>
  </conditionalFormatting>
  <conditionalFormatting sqref="F103">
    <cfRule type="cellIs" dxfId="181" priority="182" operator="lessThan">
      <formula>100</formula>
    </cfRule>
  </conditionalFormatting>
  <conditionalFormatting sqref="E90">
    <cfRule type="cellIs" dxfId="180" priority="181" operator="equal">
      <formula>$E$26</formula>
    </cfRule>
  </conditionalFormatting>
  <conditionalFormatting sqref="E103">
    <cfRule type="cellIs" dxfId="179" priority="180" operator="equal">
      <formula>$E$27</formula>
    </cfRule>
  </conditionalFormatting>
  <conditionalFormatting sqref="G90">
    <cfRule type="cellIs" dxfId="178" priority="179" operator="equal">
      <formula>$G$26</formula>
    </cfRule>
  </conditionalFormatting>
  <conditionalFormatting sqref="G103">
    <cfRule type="cellIs" dxfId="177" priority="178" operator="equal">
      <formula>$G$27</formula>
    </cfRule>
  </conditionalFormatting>
  <conditionalFormatting sqref="G38">
    <cfRule type="cellIs" dxfId="176" priority="166" operator="lessThan">
      <formula>$G$22</formula>
    </cfRule>
    <cfRule type="cellIs" dxfId="175" priority="167" operator="greaterThan">
      <formula>$G$22</formula>
    </cfRule>
    <cfRule type="cellIs" dxfId="174" priority="168" operator="equal">
      <formula>$G$22</formula>
    </cfRule>
  </conditionalFormatting>
  <conditionalFormatting sqref="D38">
    <cfRule type="cellIs" dxfId="173" priority="177" operator="equal">
      <formula>100</formula>
    </cfRule>
  </conditionalFormatting>
  <conditionalFormatting sqref="D38">
    <cfRule type="cellIs" dxfId="172" priority="176" operator="greaterThan">
      <formula>100</formula>
    </cfRule>
  </conditionalFormatting>
  <conditionalFormatting sqref="D38">
    <cfRule type="cellIs" dxfId="171" priority="175" operator="lessThan">
      <formula>100</formula>
    </cfRule>
  </conditionalFormatting>
  <conditionalFormatting sqref="E38">
    <cfRule type="cellIs" dxfId="170" priority="172" operator="lessThan">
      <formula>$E$22</formula>
    </cfRule>
    <cfRule type="cellIs" dxfId="169" priority="173" operator="greaterThan">
      <formula>$E$22</formula>
    </cfRule>
    <cfRule type="cellIs" dxfId="168" priority="174" operator="equal">
      <formula>$E$22</formula>
    </cfRule>
  </conditionalFormatting>
  <conditionalFormatting sqref="F38">
    <cfRule type="cellIs" dxfId="167" priority="171" operator="equal">
      <formula>100</formula>
    </cfRule>
  </conditionalFormatting>
  <conditionalFormatting sqref="F38">
    <cfRule type="cellIs" dxfId="166" priority="170" operator="greaterThan">
      <formula>100</formula>
    </cfRule>
  </conditionalFormatting>
  <conditionalFormatting sqref="F38">
    <cfRule type="cellIs" dxfId="165" priority="169" operator="lessThan">
      <formula>100</formula>
    </cfRule>
  </conditionalFormatting>
  <conditionalFormatting sqref="F124 C124:D124">
    <cfRule type="cellIs" dxfId="164" priority="165" operator="equal">
      <formula>100</formula>
    </cfRule>
  </conditionalFormatting>
  <conditionalFormatting sqref="F124 C124:D124">
    <cfRule type="cellIs" dxfId="163" priority="164" operator="greaterThan">
      <formula>100</formula>
    </cfRule>
  </conditionalFormatting>
  <conditionalFormatting sqref="F124 C124:D124">
    <cfRule type="cellIs" dxfId="162" priority="163" operator="lessThan">
      <formula>100</formula>
    </cfRule>
  </conditionalFormatting>
  <conditionalFormatting sqref="E124">
    <cfRule type="cellIs" dxfId="161" priority="160" operator="lessThan">
      <formula>$E$115</formula>
    </cfRule>
    <cfRule type="cellIs" dxfId="160" priority="161" operator="greaterThan">
      <formula>$E$115</formula>
    </cfRule>
    <cfRule type="cellIs" dxfId="159" priority="162" operator="equal">
      <formula>$E$115</formula>
    </cfRule>
  </conditionalFormatting>
  <conditionalFormatting sqref="E194">
    <cfRule type="cellIs" dxfId="158" priority="139" operator="lessThan">
      <formula>$E$124</formula>
    </cfRule>
    <cfRule type="cellIs" dxfId="157" priority="140" operator="greaterThan">
      <formula>$E$124</formula>
    </cfRule>
    <cfRule type="cellIs" dxfId="156" priority="159" operator="equal">
      <formula>$E$124</formula>
    </cfRule>
  </conditionalFormatting>
  <conditionalFormatting sqref="D147">
    <cfRule type="cellIs" dxfId="155" priority="158" operator="equal">
      <formula>100</formula>
    </cfRule>
  </conditionalFormatting>
  <conditionalFormatting sqref="D147">
    <cfRule type="cellIs" dxfId="154" priority="157" operator="greaterThan">
      <formula>100</formula>
    </cfRule>
  </conditionalFormatting>
  <conditionalFormatting sqref="D147">
    <cfRule type="cellIs" dxfId="153" priority="156" operator="lessThan">
      <formula>100</formula>
    </cfRule>
  </conditionalFormatting>
  <conditionalFormatting sqref="F147">
    <cfRule type="cellIs" dxfId="152" priority="155" operator="equal">
      <formula>100</formula>
    </cfRule>
  </conditionalFormatting>
  <conditionalFormatting sqref="F147">
    <cfRule type="cellIs" dxfId="151" priority="154" operator="greaterThan">
      <formula>100</formula>
    </cfRule>
  </conditionalFormatting>
  <conditionalFormatting sqref="F147">
    <cfRule type="cellIs" dxfId="150" priority="153" operator="lessThan">
      <formula>100</formula>
    </cfRule>
  </conditionalFormatting>
  <conditionalFormatting sqref="G147">
    <cfRule type="cellIs" dxfId="149" priority="150" operator="lessThan">
      <formula>$G$120</formula>
    </cfRule>
    <cfRule type="cellIs" dxfId="148" priority="151" operator="greaterThan">
      <formula>$G$120</formula>
    </cfRule>
    <cfRule type="cellIs" dxfId="147" priority="152" operator="equal">
      <formula>$G$120</formula>
    </cfRule>
  </conditionalFormatting>
  <conditionalFormatting sqref="F160">
    <cfRule type="cellIs" dxfId="146" priority="149" operator="equal">
      <formula>100</formula>
    </cfRule>
  </conditionalFormatting>
  <conditionalFormatting sqref="F160">
    <cfRule type="cellIs" dxfId="145" priority="148" operator="greaterThan">
      <formula>100</formula>
    </cfRule>
  </conditionalFormatting>
  <conditionalFormatting sqref="F160">
    <cfRule type="cellIs" dxfId="144" priority="147" operator="lessThan">
      <formula>100</formula>
    </cfRule>
  </conditionalFormatting>
  <conditionalFormatting sqref="E160">
    <cfRule type="cellIs" dxfId="143" priority="144" operator="lessThan">
      <formula>$E$121</formula>
    </cfRule>
    <cfRule type="cellIs" dxfId="142" priority="145" operator="greaterThan">
      <formula>$E$121</formula>
    </cfRule>
    <cfRule type="cellIs" dxfId="141" priority="146" operator="equal">
      <formula>$E$121</formula>
    </cfRule>
  </conditionalFormatting>
  <conditionalFormatting sqref="G160">
    <cfRule type="cellIs" dxfId="140" priority="141" operator="lessThan">
      <formula>$G$121</formula>
    </cfRule>
    <cfRule type="cellIs" dxfId="139" priority="142" operator="greaterThan">
      <formula>$G$121</formula>
    </cfRule>
    <cfRule type="cellIs" dxfId="138" priority="143" operator="equal">
      <formula>$G$121</formula>
    </cfRule>
  </conditionalFormatting>
  <conditionalFormatting sqref="D173">
    <cfRule type="cellIs" dxfId="137" priority="138" operator="equal">
      <formula>100</formula>
    </cfRule>
  </conditionalFormatting>
  <conditionalFormatting sqref="D173">
    <cfRule type="cellIs" dxfId="136" priority="137" operator="greaterThan">
      <formula>100</formula>
    </cfRule>
  </conditionalFormatting>
  <conditionalFormatting sqref="D173">
    <cfRule type="cellIs" dxfId="135" priority="136" operator="lessThan">
      <formula>100</formula>
    </cfRule>
  </conditionalFormatting>
  <conditionalFormatting sqref="F173">
    <cfRule type="cellIs" dxfId="134" priority="135" operator="equal">
      <formula>100</formula>
    </cfRule>
  </conditionalFormatting>
  <conditionalFormatting sqref="F173">
    <cfRule type="cellIs" dxfId="133" priority="134" operator="greaterThan">
      <formula>100</formula>
    </cfRule>
  </conditionalFormatting>
  <conditionalFormatting sqref="F173">
    <cfRule type="cellIs" dxfId="132" priority="133" operator="lessThan">
      <formula>100</formula>
    </cfRule>
  </conditionalFormatting>
  <conditionalFormatting sqref="D186">
    <cfRule type="cellIs" dxfId="131" priority="132" operator="equal">
      <formula>100</formula>
    </cfRule>
  </conditionalFormatting>
  <conditionalFormatting sqref="D186">
    <cfRule type="cellIs" dxfId="130" priority="131" operator="greaterThan">
      <formula>100</formula>
    </cfRule>
  </conditionalFormatting>
  <conditionalFormatting sqref="D186">
    <cfRule type="cellIs" dxfId="129" priority="130" operator="lessThan">
      <formula>100</formula>
    </cfRule>
  </conditionalFormatting>
  <conditionalFormatting sqref="F186">
    <cfRule type="cellIs" dxfId="128" priority="129" operator="equal">
      <formula>100</formula>
    </cfRule>
  </conditionalFormatting>
  <conditionalFormatting sqref="F186">
    <cfRule type="cellIs" dxfId="127" priority="128" operator="greaterThan">
      <formula>100</formula>
    </cfRule>
  </conditionalFormatting>
  <conditionalFormatting sqref="F186">
    <cfRule type="cellIs" dxfId="126" priority="127" operator="lessThan">
      <formula>100</formula>
    </cfRule>
  </conditionalFormatting>
  <conditionalFormatting sqref="G134">
    <cfRule type="cellIs" dxfId="125" priority="121" operator="lessThan">
      <formula>$G$119</formula>
    </cfRule>
    <cfRule type="cellIs" dxfId="124" priority="122" operator="greaterThan">
      <formula>$G$119</formula>
    </cfRule>
    <cfRule type="cellIs" dxfId="123" priority="123" operator="equal">
      <formula>$G$119</formula>
    </cfRule>
  </conditionalFormatting>
  <conditionalFormatting sqref="F134">
    <cfRule type="cellIs" dxfId="122" priority="126" operator="equal">
      <formula>100</formula>
    </cfRule>
  </conditionalFormatting>
  <conditionalFormatting sqref="F134">
    <cfRule type="cellIs" dxfId="121" priority="125" operator="greaterThan">
      <formula>100</formula>
    </cfRule>
  </conditionalFormatting>
  <conditionalFormatting sqref="F134">
    <cfRule type="cellIs" dxfId="120" priority="124" operator="lessThan">
      <formula>100</formula>
    </cfRule>
  </conditionalFormatting>
  <conditionalFormatting sqref="E134">
    <cfRule type="cellIs" dxfId="119" priority="118" operator="lessThan">
      <formula>$E$119</formula>
    </cfRule>
    <cfRule type="cellIs" dxfId="118" priority="119" operator="greaterThan">
      <formula>$E$119</formula>
    </cfRule>
    <cfRule type="cellIs" dxfId="117" priority="120" operator="equal">
      <formula>$E$119</formula>
    </cfRule>
  </conditionalFormatting>
  <conditionalFormatting sqref="D51">
    <cfRule type="cellIs" dxfId="116" priority="117" operator="equal">
      <formula>100</formula>
    </cfRule>
  </conditionalFormatting>
  <conditionalFormatting sqref="D51">
    <cfRule type="cellIs" dxfId="115" priority="116" operator="greaterThan">
      <formula>100</formula>
    </cfRule>
  </conditionalFormatting>
  <conditionalFormatting sqref="D51">
    <cfRule type="cellIs" dxfId="114" priority="115" operator="lessThan">
      <formula>100</formula>
    </cfRule>
  </conditionalFormatting>
  <conditionalFormatting sqref="G124">
    <cfRule type="cellIs" dxfId="113" priority="112" operator="lessThan">
      <formula>$G$115</formula>
    </cfRule>
    <cfRule type="cellIs" dxfId="112" priority="113" operator="greaterThan">
      <formula>$G$115</formula>
    </cfRule>
    <cfRule type="cellIs" dxfId="111" priority="114" operator="equal">
      <formula>$G$115</formula>
    </cfRule>
  </conditionalFormatting>
  <conditionalFormatting sqref="E147">
    <cfRule type="cellIs" dxfId="110" priority="109" operator="lessThan">
      <formula>$E$120</formula>
    </cfRule>
    <cfRule type="cellIs" dxfId="109" priority="110" operator="greaterThan">
      <formula>$E$120</formula>
    </cfRule>
    <cfRule type="cellIs" dxfId="108" priority="111" operator="equal">
      <formula>$E$120</formula>
    </cfRule>
  </conditionalFormatting>
  <conditionalFormatting sqref="E173">
    <cfRule type="cellIs" dxfId="107" priority="106" operator="lessThan">
      <formula>$E$122</formula>
    </cfRule>
    <cfRule type="cellIs" dxfId="106" priority="107" operator="greaterThan">
      <formula>$E$122</formula>
    </cfRule>
    <cfRule type="cellIs" dxfId="105" priority="108" operator="equal">
      <formula>$E$122</formula>
    </cfRule>
  </conditionalFormatting>
  <conditionalFormatting sqref="E186">
    <cfRule type="cellIs" dxfId="104" priority="103" operator="lessThan">
      <formula>$E$123</formula>
    </cfRule>
    <cfRule type="cellIs" dxfId="103" priority="104" operator="greaterThan">
      <formula>$E$123</formula>
    </cfRule>
    <cfRule type="cellIs" dxfId="102" priority="105" operator="equal">
      <formula>$E$123</formula>
    </cfRule>
  </conditionalFormatting>
  <conditionalFormatting sqref="G173">
    <cfRule type="cellIs" dxfId="101" priority="100" operator="lessThan">
      <formula>$G$122</formula>
    </cfRule>
    <cfRule type="cellIs" dxfId="100" priority="101" operator="greaterThan">
      <formula>$G$122</formula>
    </cfRule>
    <cfRule type="cellIs" dxfId="99" priority="102" operator="equal">
      <formula>$G$122</formula>
    </cfRule>
  </conditionalFormatting>
  <conditionalFormatting sqref="G186">
    <cfRule type="cellIs" dxfId="98" priority="97" operator="lessThan">
      <formula>$G$123</formula>
    </cfRule>
    <cfRule type="cellIs" dxfId="97" priority="98" operator="greaterThan">
      <formula>$G$123</formula>
    </cfRule>
    <cfRule type="cellIs" dxfId="96" priority="99" operator="equal">
      <formula>$G$123</formula>
    </cfRule>
  </conditionalFormatting>
  <conditionalFormatting sqref="G194">
    <cfRule type="cellIs" dxfId="95" priority="94" operator="lessThan">
      <formula>$G$124</formula>
    </cfRule>
    <cfRule type="cellIs" dxfId="94" priority="95" operator="greaterThan">
      <formula>$G$124</formula>
    </cfRule>
    <cfRule type="cellIs" dxfId="93" priority="96" operator="equal">
      <formula>$G$124</formula>
    </cfRule>
  </conditionalFormatting>
  <conditionalFormatting sqref="F206 C206:D206">
    <cfRule type="cellIs" dxfId="92" priority="93" operator="equal">
      <formula>100</formula>
    </cfRule>
  </conditionalFormatting>
  <conditionalFormatting sqref="F206 C206:D206">
    <cfRule type="cellIs" dxfId="91" priority="92" operator="greaterThan">
      <formula>100</formula>
    </cfRule>
  </conditionalFormatting>
  <conditionalFormatting sqref="F206 C206:D206">
    <cfRule type="cellIs" dxfId="90" priority="91" operator="lessThan">
      <formula>100</formula>
    </cfRule>
  </conditionalFormatting>
  <conditionalFormatting sqref="E206">
    <cfRule type="cellIs" dxfId="89" priority="88" operator="lessThan">
      <formula>$E$197</formula>
    </cfRule>
    <cfRule type="cellIs" dxfId="88" priority="89" operator="greaterThan">
      <formula>$E$197</formula>
    </cfRule>
    <cfRule type="cellIs" dxfId="87" priority="90" operator="equal">
      <formula>$E$197</formula>
    </cfRule>
  </conditionalFormatting>
  <conditionalFormatting sqref="G206">
    <cfRule type="cellIs" dxfId="86" priority="85" operator="lessThan">
      <formula>$G$197</formula>
    </cfRule>
    <cfRule type="cellIs" dxfId="85" priority="86" operator="greaterThan">
      <formula>$G$197</formula>
    </cfRule>
    <cfRule type="cellIs" dxfId="84" priority="87" operator="equal">
      <formula>$G$197</formula>
    </cfRule>
  </conditionalFormatting>
  <conditionalFormatting sqref="E229">
    <cfRule type="cellIs" dxfId="83" priority="82" operator="lessThan">
      <formula>$E$201</formula>
    </cfRule>
    <cfRule type="cellIs" dxfId="82" priority="83" operator="greaterThan">
      <formula>$E$201</formula>
    </cfRule>
    <cfRule type="cellIs" dxfId="81" priority="84" operator="equal">
      <formula>$E$201</formula>
    </cfRule>
  </conditionalFormatting>
  <conditionalFormatting sqref="F229">
    <cfRule type="cellIs" dxfId="80" priority="81" operator="equal">
      <formula>100</formula>
    </cfRule>
  </conditionalFormatting>
  <conditionalFormatting sqref="F229">
    <cfRule type="cellIs" dxfId="79" priority="80" operator="greaterThan">
      <formula>100</formula>
    </cfRule>
  </conditionalFormatting>
  <conditionalFormatting sqref="F229">
    <cfRule type="cellIs" dxfId="78" priority="79" operator="lessThan">
      <formula>100</formula>
    </cfRule>
  </conditionalFormatting>
  <conditionalFormatting sqref="G229">
    <cfRule type="cellIs" dxfId="77" priority="76" operator="lessThan">
      <formula>$G$201</formula>
    </cfRule>
    <cfRule type="cellIs" dxfId="76" priority="77" operator="greaterThan">
      <formula>$G$201</formula>
    </cfRule>
    <cfRule type="cellIs" dxfId="75" priority="78" operator="equal">
      <formula>$G$201</formula>
    </cfRule>
  </conditionalFormatting>
  <conditionalFormatting sqref="E291">
    <cfRule type="cellIs" dxfId="74" priority="55" operator="lessThan">
      <formula>$E$197</formula>
    </cfRule>
    <cfRule type="cellIs" dxfId="73" priority="56" operator="greaterThan">
      <formula>$E$197</formula>
    </cfRule>
    <cfRule type="cellIs" dxfId="72" priority="75" operator="equal">
      <formula>$E$197</formula>
    </cfRule>
  </conditionalFormatting>
  <conditionalFormatting sqref="D242">
    <cfRule type="cellIs" dxfId="71" priority="74" operator="equal">
      <formula>100</formula>
    </cfRule>
  </conditionalFormatting>
  <conditionalFormatting sqref="D242">
    <cfRule type="cellIs" dxfId="70" priority="73" operator="greaterThan">
      <formula>100</formula>
    </cfRule>
  </conditionalFormatting>
  <conditionalFormatting sqref="D242">
    <cfRule type="cellIs" dxfId="69" priority="72" operator="lessThan">
      <formula>100</formula>
    </cfRule>
  </conditionalFormatting>
  <conditionalFormatting sqref="F242">
    <cfRule type="cellIs" dxfId="68" priority="71" operator="equal">
      <formula>100</formula>
    </cfRule>
  </conditionalFormatting>
  <conditionalFormatting sqref="F242">
    <cfRule type="cellIs" dxfId="67" priority="70" operator="greaterThan">
      <formula>100</formula>
    </cfRule>
  </conditionalFormatting>
  <conditionalFormatting sqref="F242">
    <cfRule type="cellIs" dxfId="66" priority="69" operator="lessThan">
      <formula>100</formula>
    </cfRule>
  </conditionalFormatting>
  <conditionalFormatting sqref="D255">
    <cfRule type="cellIs" dxfId="65" priority="68" operator="equal">
      <formula>100</formula>
    </cfRule>
  </conditionalFormatting>
  <conditionalFormatting sqref="D255">
    <cfRule type="cellIs" dxfId="64" priority="67" operator="greaterThan">
      <formula>100</formula>
    </cfRule>
  </conditionalFormatting>
  <conditionalFormatting sqref="D255">
    <cfRule type="cellIs" dxfId="63" priority="66" operator="lessThan">
      <formula>100</formula>
    </cfRule>
  </conditionalFormatting>
  <conditionalFormatting sqref="F255">
    <cfRule type="cellIs" dxfId="62" priority="65" operator="equal">
      <formula>100</formula>
    </cfRule>
  </conditionalFormatting>
  <conditionalFormatting sqref="F255">
    <cfRule type="cellIs" dxfId="61" priority="64" operator="greaterThan">
      <formula>100</formula>
    </cfRule>
  </conditionalFormatting>
  <conditionalFormatting sqref="F255">
    <cfRule type="cellIs" dxfId="60" priority="63" operator="lessThan">
      <formula>100</formula>
    </cfRule>
  </conditionalFormatting>
  <conditionalFormatting sqref="E255">
    <cfRule type="cellIs" dxfId="59" priority="60" operator="lessThan">
      <formula>$E$25</formula>
    </cfRule>
    <cfRule type="cellIs" dxfId="58" priority="61" operator="greaterThan">
      <formula>$E$25</formula>
    </cfRule>
    <cfRule type="cellIs" dxfId="57" priority="62" operator="equal">
      <formula>$E$25</formula>
    </cfRule>
  </conditionalFormatting>
  <conditionalFormatting sqref="G255">
    <cfRule type="cellIs" dxfId="56" priority="57" operator="lessThan">
      <formula>$G$203</formula>
    </cfRule>
    <cfRule type="cellIs" dxfId="55" priority="58" operator="greaterThan">
      <formula>$G$203</formula>
    </cfRule>
    <cfRule type="cellIs" dxfId="54" priority="59" operator="equal">
      <formula>$G$203</formula>
    </cfRule>
  </conditionalFormatting>
  <conditionalFormatting sqref="G291">
    <cfRule type="cellIs" dxfId="53" priority="52" operator="lessThan">
      <formula>$G$197</formula>
    </cfRule>
    <cfRule type="cellIs" dxfId="52" priority="53" operator="greaterThan">
      <formula>$G$197</formula>
    </cfRule>
    <cfRule type="cellIs" dxfId="51" priority="54" operator="equal">
      <formula>$G$197</formula>
    </cfRule>
  </conditionalFormatting>
  <conditionalFormatting sqref="D270">
    <cfRule type="cellIs" dxfId="50" priority="51" operator="equal">
      <formula>100</formula>
    </cfRule>
  </conditionalFormatting>
  <conditionalFormatting sqref="D270">
    <cfRule type="cellIs" dxfId="49" priority="50" operator="greaterThan">
      <formula>100</formula>
    </cfRule>
  </conditionalFormatting>
  <conditionalFormatting sqref="D270">
    <cfRule type="cellIs" dxfId="48" priority="49" operator="lessThan">
      <formula>100</formula>
    </cfRule>
  </conditionalFormatting>
  <conditionalFormatting sqref="F270">
    <cfRule type="cellIs" dxfId="47" priority="48" operator="equal">
      <formula>100</formula>
    </cfRule>
  </conditionalFormatting>
  <conditionalFormatting sqref="F270">
    <cfRule type="cellIs" dxfId="46" priority="47" operator="greaterThan">
      <formula>100</formula>
    </cfRule>
  </conditionalFormatting>
  <conditionalFormatting sqref="F270">
    <cfRule type="cellIs" dxfId="45" priority="46" operator="lessThan">
      <formula>100</formula>
    </cfRule>
  </conditionalFormatting>
  <conditionalFormatting sqref="D283">
    <cfRule type="cellIs" dxfId="44" priority="45" operator="equal">
      <formula>100</formula>
    </cfRule>
  </conditionalFormatting>
  <conditionalFormatting sqref="D283">
    <cfRule type="cellIs" dxfId="43" priority="44" operator="greaterThan">
      <formula>100</formula>
    </cfRule>
  </conditionalFormatting>
  <conditionalFormatting sqref="D283">
    <cfRule type="cellIs" dxfId="42" priority="43" operator="lessThan">
      <formula>100</formula>
    </cfRule>
  </conditionalFormatting>
  <conditionalFormatting sqref="F283">
    <cfRule type="cellIs" dxfId="41" priority="42" operator="equal">
      <formula>100</formula>
    </cfRule>
  </conditionalFormatting>
  <conditionalFormatting sqref="F283">
    <cfRule type="cellIs" dxfId="40" priority="41" operator="greaterThan">
      <formula>100</formula>
    </cfRule>
  </conditionalFormatting>
  <conditionalFormatting sqref="F283">
    <cfRule type="cellIs" dxfId="39" priority="40" operator="lessThan">
      <formula>100</formula>
    </cfRule>
  </conditionalFormatting>
  <conditionalFormatting sqref="G216">
    <cfRule type="cellIs" dxfId="38" priority="28" operator="lessThan">
      <formula>$G$200</formula>
    </cfRule>
    <cfRule type="cellIs" dxfId="37" priority="29" operator="greaterThan">
      <formula>$G$200</formula>
    </cfRule>
    <cfRule type="cellIs" dxfId="36" priority="30" operator="equal">
      <formula>$G$200</formula>
    </cfRule>
  </conditionalFormatting>
  <conditionalFormatting sqref="D216">
    <cfRule type="cellIs" dxfId="35" priority="39" operator="equal">
      <formula>100</formula>
    </cfRule>
  </conditionalFormatting>
  <conditionalFormatting sqref="D216">
    <cfRule type="cellIs" dxfId="34" priority="38" operator="greaterThan">
      <formula>100</formula>
    </cfRule>
  </conditionalFormatting>
  <conditionalFormatting sqref="D216">
    <cfRule type="cellIs" dxfId="33" priority="37" operator="lessThan">
      <formula>100</formula>
    </cfRule>
  </conditionalFormatting>
  <conditionalFormatting sqref="E216">
    <cfRule type="cellIs" dxfId="32" priority="34" operator="lessThan">
      <formula>$E$200</formula>
    </cfRule>
    <cfRule type="cellIs" dxfId="31" priority="35" operator="greaterThan">
      <formula>$E$200</formula>
    </cfRule>
    <cfRule type="cellIs" dxfId="30" priority="36" operator="equal">
      <formula>$E$200</formula>
    </cfRule>
  </conditionalFormatting>
  <conditionalFormatting sqref="F216">
    <cfRule type="cellIs" dxfId="29" priority="33" operator="equal">
      <formula>100</formula>
    </cfRule>
  </conditionalFormatting>
  <conditionalFormatting sqref="F216">
    <cfRule type="cellIs" dxfId="28" priority="32" operator="greaterThan">
      <formula>100</formula>
    </cfRule>
  </conditionalFormatting>
  <conditionalFormatting sqref="F216">
    <cfRule type="cellIs" dxfId="27" priority="31" operator="lessThan">
      <formula>100</formula>
    </cfRule>
  </conditionalFormatting>
  <conditionalFormatting sqref="E242">
    <cfRule type="cellIs" dxfId="26" priority="25" operator="lessThan">
      <formula>$E$202</formula>
    </cfRule>
    <cfRule type="cellIs" dxfId="25" priority="26" operator="greaterThan">
      <formula>$E$202</formula>
    </cfRule>
    <cfRule type="cellIs" dxfId="24" priority="27" operator="equal">
      <formula>$E$202</formula>
    </cfRule>
  </conditionalFormatting>
  <conditionalFormatting sqref="E270">
    <cfRule type="cellIs" dxfId="23" priority="22" operator="lessThan">
      <formula>$E$204</formula>
    </cfRule>
    <cfRule type="cellIs" dxfId="22" priority="23" operator="greaterThan">
      <formula>$E$204</formula>
    </cfRule>
    <cfRule type="cellIs" dxfId="21" priority="24" operator="equal">
      <formula>$E$204</formula>
    </cfRule>
  </conditionalFormatting>
  <conditionalFormatting sqref="E283">
    <cfRule type="cellIs" dxfId="20" priority="19" operator="lessThan">
      <formula>$E$205</formula>
    </cfRule>
    <cfRule type="cellIs" dxfId="19" priority="20" operator="greaterThan">
      <formula>$E$205</formula>
    </cfRule>
    <cfRule type="cellIs" dxfId="18" priority="21" operator="equal">
      <formula>$E$205</formula>
    </cfRule>
  </conditionalFormatting>
  <conditionalFormatting sqref="G242">
    <cfRule type="cellIs" dxfId="17" priority="16" operator="lessThan">
      <formula>$G$202</formula>
    </cfRule>
    <cfRule type="cellIs" dxfId="16" priority="17" operator="greaterThan">
      <formula>$G$202</formula>
    </cfRule>
    <cfRule type="cellIs" dxfId="15" priority="18" operator="equal">
      <formula>$G$202</formula>
    </cfRule>
  </conditionalFormatting>
  <conditionalFormatting sqref="G270">
    <cfRule type="cellIs" dxfId="14" priority="13" operator="lessThan">
      <formula>$G$204</formula>
    </cfRule>
    <cfRule type="cellIs" dxfId="13" priority="14" operator="greaterThan">
      <formula>$G$204</formula>
    </cfRule>
    <cfRule type="cellIs" dxfId="12" priority="15" operator="equal">
      <formula>$G$204</formula>
    </cfRule>
  </conditionalFormatting>
  <conditionalFormatting sqref="G283">
    <cfRule type="cellIs" dxfId="11" priority="10" operator="lessThan">
      <formula>$G$205</formula>
    </cfRule>
    <cfRule type="cellIs" dxfId="10" priority="11" operator="greaterThan">
      <formula>$G$205</formula>
    </cfRule>
    <cfRule type="cellIs" dxfId="9" priority="12" operator="equal">
      <formula>$G$205</formula>
    </cfRule>
  </conditionalFormatting>
  <conditionalFormatting sqref="D229">
    <cfRule type="cellIs" dxfId="8" priority="9" operator="equal">
      <formula>100</formula>
    </cfRule>
  </conditionalFormatting>
  <conditionalFormatting sqref="D229">
    <cfRule type="cellIs" dxfId="7" priority="8" operator="greaterThan">
      <formula>100</formula>
    </cfRule>
  </conditionalFormatting>
  <conditionalFormatting sqref="D229">
    <cfRule type="cellIs" dxfId="6" priority="7" operator="lessThan">
      <formula>100</formula>
    </cfRule>
  </conditionalFormatting>
  <conditionalFormatting sqref="D134">
    <cfRule type="cellIs" dxfId="5" priority="6" operator="equal">
      <formula>100</formula>
    </cfRule>
  </conditionalFormatting>
  <conditionalFormatting sqref="D134">
    <cfRule type="cellIs" dxfId="4" priority="5" operator="greaterThan">
      <formula>100</formula>
    </cfRule>
  </conditionalFormatting>
  <conditionalFormatting sqref="D134">
    <cfRule type="cellIs" dxfId="3" priority="4" operator="lessThan">
      <formula>100</formula>
    </cfRule>
  </conditionalFormatting>
  <conditionalFormatting sqref="D160">
    <cfRule type="cellIs" dxfId="2" priority="1" operator="lessThan">
      <formula>100</formula>
    </cfRule>
  </conditionalFormatting>
  <conditionalFormatting sqref="D160">
    <cfRule type="cellIs" dxfId="1" priority="3" operator="equal">
      <formula>100</formula>
    </cfRule>
  </conditionalFormatting>
  <conditionalFormatting sqref="D160">
    <cfRule type="cellIs" dxfId="0" priority="2" operator="greaterThan">
      <formula>100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Лялинов Дмитрий Васильевич</dc:creator>
  <cp:lastModifiedBy>Каримов Андрей Сергеевич</cp:lastModifiedBy>
  <dcterms:created xsi:type="dcterms:W3CDTF">2025-09-12T08:41:17Z</dcterms:created>
  <dcterms:modified xsi:type="dcterms:W3CDTF">2026-06-24T06:35:53Z</dcterms:modified>
</cp:coreProperties>
</file>