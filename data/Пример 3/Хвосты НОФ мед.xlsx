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imovAS\Downloads\ДТИ\Хакатон\"/>
    </mc:Choice>
  </mc:AlternateContent>
  <bookViews>
    <workbookView xWindow="0" yWindow="0" windowWidth="28800" windowHeight="11930"/>
  </bookViews>
  <sheets>
    <sheet name="Итог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<sst xmlns="http://schemas.openxmlformats.org/spreadsheetml/2006/main" count="126" uniqueCount="45">
  <si>
    <t>Итого</t>
  </si>
  <si>
    <t>Миллерит</t>
  </si>
  <si>
    <t>Отвальные хвосты</t>
  </si>
  <si>
    <t>+125</t>
  </si>
  <si>
    <t>-10</t>
  </si>
  <si>
    <t>Материал</t>
  </si>
  <si>
    <t>СМТ</t>
  </si>
  <si>
    <t>Поступило в переработку</t>
  </si>
  <si>
    <t>Шихта руд</t>
  </si>
  <si>
    <t xml:space="preserve">Материал пруда - накопителя </t>
  </si>
  <si>
    <t>хвосты породные</t>
  </si>
  <si>
    <t>Доля породных хвостов в отвальных</t>
  </si>
  <si>
    <t>Хвосты породные</t>
  </si>
  <si>
    <t>Класс крупности, мкм</t>
  </si>
  <si>
    <t>Доля класса, %</t>
  </si>
  <si>
    <t>-125 +71</t>
  </si>
  <si>
    <t>-71 + 45</t>
  </si>
  <si>
    <t>-45 + 20</t>
  </si>
  <si>
    <t xml:space="preserve"> -20 + 10</t>
  </si>
  <si>
    <t>Итого (проверка)</t>
  </si>
  <si>
    <t>+125 мкм</t>
  </si>
  <si>
    <t>Раскрытый Pnt/Cp</t>
  </si>
  <si>
    <t>Закрытый Pnt/Cp</t>
  </si>
  <si>
    <t xml:space="preserve">Примесь в пирротине </t>
  </si>
  <si>
    <t>Силикатная форма/Валлериит</t>
  </si>
  <si>
    <t>Потери (расписать)</t>
  </si>
  <si>
    <t>Свободный слот</t>
  </si>
  <si>
    <t>Извлекаемый металл</t>
  </si>
  <si>
    <t>Не извлекаемый металл</t>
  </si>
  <si>
    <t xml:space="preserve"> -125 +71 мкм</t>
  </si>
  <si>
    <t>-71 + 45 мкм</t>
  </si>
  <si>
    <t>-45 + 20 мкм</t>
  </si>
  <si>
    <t>-20 + 10 мкм</t>
  </si>
  <si>
    <t>-10 мкм</t>
  </si>
  <si>
    <t>Итого извлекаемый металл</t>
  </si>
  <si>
    <t>Итого не извлекаемый металл</t>
  </si>
  <si>
    <t>Элемент 28, %</t>
  </si>
  <si>
    <t>Элемент 28, т</t>
  </si>
  <si>
    <t>Доля Элемент 28, %</t>
  </si>
  <si>
    <t>Доля потерь Элемент 28, %</t>
  </si>
  <si>
    <t>Элемент 29, %</t>
  </si>
  <si>
    <t>Элемент 29, т</t>
  </si>
  <si>
    <t>Доля Элемент 29, %</t>
  </si>
  <si>
    <t>Доля потерь Элемент 29, %</t>
  </si>
  <si>
    <t>Пирит/Другие Элемент 29 сульфиды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</si>
</sst>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7030A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0"/>
      <color theme="8" tint="-0.499984740745262"/>
      <name val="Tahoma"/>
      <family val="2"/>
      <charset val="204"/>
    </font>
    <font>
      <sz val="10"/>
      <color rgb="FF0070C0"/>
      <name val="Tahoma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FF0000"/>
      <name val="Tahoma"/>
      <family val="2"/>
      <charset val="204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8C5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53">
    <xf numFmtId="0" fontId="0" fillId="0" borderId="0" xfId="0"/>
    <xf numFmtId="0" fontId="0" fillId="4" borderId="0" xfId="0" applyFill="1"/>
    <xf numFmtId="0" fontId="1" fillId="3" borderId="2" xfId="0" applyFont="1" applyFill="1" applyBorder="1"/>
    <xf numFmtId="0" fontId="1" fillId="4" borderId="0" xfId="0" applyFont="1" applyFill="1"/>
    <xf numFmtId="0" fontId="2" fillId="4" borderId="1" xfId="0" applyFont="1" applyFill="1" applyBorder="1"/>
    <xf numFmtId="4" fontId="2" fillId="5" borderId="1" xfId="0" applyNumberFormat="1" applyFont="1" applyFill="1" applyBorder="1"/>
    <xf numFmtId="0" fontId="2" fillId="4" borderId="0" xfId="0" applyFont="1" applyFill="1"/>
    <xf numFmtId="4" fontId="2" fillId="4" borderId="0" xfId="0" applyNumberFormat="1" applyFont="1" applyFill="1"/>
    <xf numFmtId="0" fontId="3" fillId="0" borderId="0" xfId="0" applyFont="1" applyFill="1" applyAlignment="1">
      <alignment horizontal="left"/>
    </xf>
    <xf numFmtId="4" fontId="4" fillId="0" borderId="0" xfId="0" applyNumberFormat="1" applyFont="1" applyFill="1" applyAlignment="1">
      <alignment horizontal="center"/>
    </xf>
    <xf numFmtId="0" fontId="0" fillId="0" borderId="0" xfId="0" applyFill="1"/>
    <xf numFmtId="0" fontId="4" fillId="6" borderId="0" xfId="0" applyFont="1" applyFill="1" applyAlignment="1">
      <alignment horizontal="center"/>
    </xf>
    <xf numFmtId="4" fontId="4" fillId="6" borderId="0" xfId="0" applyNumberFormat="1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left" vertical="center"/>
    </xf>
    <xf numFmtId="0" fontId="0" fillId="4" borderId="2" xfId="0" applyFill="1" applyBorder="1"/>
    <xf numFmtId="0" fontId="9" fillId="7" borderId="1" xfId="0" applyFont="1" applyFill="1" applyBorder="1"/>
    <xf numFmtId="0" fontId="0" fillId="4" borderId="0" xfId="0" applyFill="1" applyBorder="1"/>
    <xf numFmtId="0" fontId="1" fillId="3" borderId="1" xfId="0" applyFont="1" applyFill="1" applyBorder="1"/>
    <xf numFmtId="0" fontId="1" fillId="4" borderId="0" xfId="0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2" fontId="0" fillId="4" borderId="0" xfId="0" applyNumberFormat="1" applyFill="1" applyBorder="1" applyAlignment="1">
      <alignment horizontal="center" vertical="center"/>
    </xf>
    <xf numFmtId="49" fontId="0" fillId="4" borderId="1" xfId="0" quotePrefix="1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2" fontId="10" fillId="4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left" vertical="center"/>
    </xf>
    <xf numFmtId="0" fontId="0" fillId="4" borderId="1" xfId="0" applyFill="1" applyBorder="1"/>
    <xf numFmtId="49" fontId="1" fillId="3" borderId="2" xfId="0" quotePrefix="1" applyNumberFormat="1" applyFont="1" applyFill="1" applyBorder="1" applyAlignment="1">
      <alignment horizontal="center"/>
    </xf>
    <xf numFmtId="0" fontId="12" fillId="4" borderId="1" xfId="0" applyFont="1" applyFill="1" applyBorder="1"/>
    <xf numFmtId="0" fontId="10" fillId="4" borderId="0" xfId="0" applyFont="1" applyFill="1"/>
    <xf numFmtId="0" fontId="1" fillId="3" borderId="2" xfId="0" quotePrefix="1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/>
    </xf>
    <xf numFmtId="4" fontId="1" fillId="3" borderId="2" xfId="0" applyNumberFormat="1" applyFont="1" applyFill="1" applyBorder="1" applyAlignment="1">
      <alignment horizontal="center"/>
    </xf>
    <xf numFmtId="4" fontId="0" fillId="4" borderId="0" xfId="0" applyNumberFormat="1" applyFill="1"/>
    <xf numFmtId="4" fontId="2" fillId="2" borderId="1" xfId="0" applyNumberFormat="1" applyFont="1" applyFill="1" applyBorder="1"/>
    <xf numFmtId="4" fontId="4" fillId="6" borderId="1" xfId="0" applyNumberFormat="1" applyFont="1" applyFill="1" applyBorder="1" applyAlignment="1">
      <alignment horizontal="center" vertical="center"/>
    </xf>
    <xf numFmtId="4" fontId="4" fillId="6" borderId="0" xfId="0" applyNumberFormat="1" applyFont="1" applyFill="1" applyBorder="1" applyAlignment="1">
      <alignment horizontal="center"/>
    </xf>
    <xf numFmtId="4" fontId="0" fillId="4" borderId="2" xfId="0" applyNumberFormat="1" applyFill="1" applyBorder="1"/>
    <xf numFmtId="4" fontId="6" fillId="4" borderId="0" xfId="0" applyNumberFormat="1" applyFont="1" applyFill="1"/>
    <xf numFmtId="4" fontId="7" fillId="4" borderId="0" xfId="0" applyNumberFormat="1" applyFont="1" applyFill="1"/>
    <xf numFmtId="4" fontId="8" fillId="4" borderId="0" xfId="0" applyNumberFormat="1" applyFont="1" applyFill="1"/>
    <xf numFmtId="4" fontId="0" fillId="7" borderId="0" xfId="0" applyNumberFormat="1" applyFill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4" fontId="0" fillId="0" borderId="0" xfId="0" applyNumberFormat="1" applyFill="1"/>
    <xf numFmtId="4" fontId="1" fillId="3" borderId="1" xfId="0" applyNumberFormat="1" applyFont="1" applyFill="1" applyBorder="1" applyAlignment="1">
      <alignment horizontal="center"/>
    </xf>
    <xf numFmtId="4" fontId="0" fillId="5" borderId="1" xfId="0" applyNumberForma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4" fontId="1" fillId="3" borderId="2" xfId="0" applyNumberFormat="1" applyFont="1" applyFill="1" applyBorder="1"/>
    <xf numFmtId="4" fontId="0" fillId="4" borderId="0" xfId="0" applyNumberFormat="1" applyFill="1" applyAlignment="1">
      <alignment horizontal="center" vertical="center"/>
    </xf>
    <xf numFmtId="4" fontId="0" fillId="2" borderId="1" xfId="0" applyNumberFormat="1" applyFill="1" applyBorder="1" applyAlignment="1">
      <alignment horizontal="center"/>
    </xf>
    <xf numFmtId="4" fontId="0" fillId="2" borderId="1" xfId="0" applyNumberFormat="1" applyFill="1" applyBorder="1"/>
    <xf numFmtId="4" fontId="0" fillId="4" borderId="1" xfId="0" applyNumberFormat="1" applyFill="1" applyBorder="1"/>
    <xf numFmtId="4" fontId="0" fillId="4" borderId="1" xfId="0" applyNumberFormat="1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19"/>
  <sheetViews>
    <sheetView tabSelected="1" zoomScale="61" workbookViewId="0">
      <selection activeCell="F12" sqref="F12"/>
    </sheetView>
  </sheetViews>
  <sheetFormatPr defaultColWidth="9.1796875" defaultRowHeight="14.5" x14ac:dyDescent="0.35"/>
  <cols>
    <col min="1" max="1" width="9.1796875" style="1"/>
    <col min="2" max="2" width="32.7265625" style="1" bestFit="1" customWidth="1"/>
    <col min="3" max="3" width="14.08984375" style="33" bestFit="1" customWidth="1"/>
    <col min="4" max="4" width="25.1796875" style="33" bestFit="1" customWidth="1"/>
    <col min="5" max="5" width="12.6328125" style="33" bestFit="1" customWidth="1"/>
    <col min="6" max="6" width="25.1796875" style="33" bestFit="1" customWidth="1"/>
    <col min="7" max="7" width="12.6328125" style="33" bestFit="1" customWidth="1"/>
    <col min="8" max="16384" width="9.1796875" style="1"/>
  </cols>
  <sheetData>
    <row r="2" spans="2:14" ht="15" thickBot="1" x14ac:dyDescent="0.4">
      <c r="B2" s="2" t="s">
        <v>5</v>
      </c>
      <c r="C2" s="32" t="s">
        <v>6</v>
      </c>
      <c r="D2" s="32" t="s">
        <v>36</v>
      </c>
      <c r="E2" s="32" t="s">
        <v>37</v>
      </c>
      <c r="F2" s="32" t="s">
        <v>40</v>
      </c>
      <c r="G2" s="32" t="s">
        <v>41</v>
      </c>
    </row>
    <row r="3" spans="2:14" x14ac:dyDescent="0.35">
      <c r="B3" s="3" t="s">
        <v>7</v>
      </c>
    </row>
    <row r="4" spans="2:14" x14ac:dyDescent="0.35">
      <c r="B4" s="4" t="s">
        <v>8</v>
      </c>
      <c r="C4" s="5">
        <v>11392566</v>
      </c>
      <c r="D4" s="34">
        <v>1.6794363973840483</v>
      </c>
      <c r="E4" s="5">
        <v>191330.9</v>
      </c>
      <c r="F4" s="34">
        <v>2.7045109942746874</v>
      </c>
      <c r="G4" s="5">
        <v>308113.2</v>
      </c>
    </row>
    <row r="5" spans="2:14" x14ac:dyDescent="0.35">
      <c r="B5" s="4" t="s">
        <v>9</v>
      </c>
      <c r="C5" s="5">
        <v>136667</v>
      </c>
      <c r="D5" s="34">
        <v>1.0468511052412068</v>
      </c>
      <c r="E5" s="5">
        <v>1430.7</v>
      </c>
      <c r="F5" s="34">
        <v>1.6529959683025162</v>
      </c>
      <c r="G5" s="5">
        <v>2259.1</v>
      </c>
    </row>
    <row r="6" spans="2:14" x14ac:dyDescent="0.35">
      <c r="B6" s="4" t="s">
        <v>0</v>
      </c>
      <c r="C6" s="5">
        <v>11529233</v>
      </c>
      <c r="D6" s="34">
        <v>1.6719377603002732</v>
      </c>
      <c r="E6" s="34">
        <v>192761.60000000001</v>
      </c>
      <c r="F6" s="34">
        <v>2.6920463833110144</v>
      </c>
      <c r="G6" s="34">
        <v>310372.3</v>
      </c>
    </row>
    <row r="7" spans="2:14" x14ac:dyDescent="0.35">
      <c r="B7" s="6"/>
      <c r="C7" s="7"/>
      <c r="D7" s="7"/>
      <c r="E7" s="7"/>
      <c r="F7" s="7"/>
      <c r="G7" s="7"/>
    </row>
    <row r="8" spans="2:14" s="10" customFormat="1" ht="21" x14ac:dyDescent="0.5">
      <c r="B8" s="8"/>
      <c r="C8" s="9"/>
      <c r="D8" s="9"/>
      <c r="E8" s="9"/>
      <c r="F8" s="9"/>
      <c r="G8" s="9"/>
    </row>
    <row r="9" spans="2:14" ht="5.15" customHeight="1" x14ac:dyDescent="0.35">
      <c r="B9" s="11"/>
      <c r="C9" s="12"/>
      <c r="D9" s="12"/>
      <c r="E9" s="12"/>
      <c r="F9" s="12"/>
      <c r="G9" s="12"/>
    </row>
    <row r="10" spans="2:14" ht="15.5" x14ac:dyDescent="0.35">
      <c r="B10" s="13" t="s">
        <v>2</v>
      </c>
      <c r="C10" s="35">
        <v>3749555.91</v>
      </c>
      <c r="D10" s="35">
        <v>0.1525901234567901</v>
      </c>
      <c r="E10" s="35">
        <v>5721.4519921503697</v>
      </c>
      <c r="F10" s="35">
        <v>0.10249999999999999</v>
      </c>
      <c r="G10" s="35">
        <v>3843.29480775</v>
      </c>
    </row>
    <row r="11" spans="2:14" ht="15.5" x14ac:dyDescent="0.35">
      <c r="B11" s="14" t="s">
        <v>10</v>
      </c>
      <c r="C11" s="36">
        <v>3749555.91</v>
      </c>
      <c r="D11" s="36"/>
      <c r="E11" s="36"/>
      <c r="F11" s="36"/>
      <c r="G11" s="36"/>
    </row>
    <row r="12" spans="2:14" ht="15.5" x14ac:dyDescent="0.35">
      <c r="B12" s="14"/>
      <c r="C12" s="36"/>
      <c r="D12" s="36"/>
      <c r="E12" s="36"/>
      <c r="F12" s="36"/>
      <c r="G12" s="36"/>
    </row>
    <row r="13" spans="2:14" ht="18.75" customHeight="1" thickBot="1" x14ac:dyDescent="0.4">
      <c r="B13" s="15"/>
      <c r="C13" s="37"/>
      <c r="D13" s="37"/>
      <c r="E13" s="37"/>
      <c r="F13" s="37"/>
      <c r="G13" s="37"/>
    </row>
    <row r="14" spans="2:14" ht="18.5" x14ac:dyDescent="0.45">
      <c r="B14" s="38" t="s">
        <v>11</v>
      </c>
      <c r="C14" s="38"/>
      <c r="D14" s="39"/>
      <c r="E14" s="40"/>
      <c r="F14" s="41">
        <v>100</v>
      </c>
    </row>
    <row r="15" spans="2:14" ht="15.5" x14ac:dyDescent="0.35">
      <c r="B15" s="16" t="s">
        <v>12</v>
      </c>
      <c r="C15" s="42">
        <v>3749555.91</v>
      </c>
      <c r="D15" s="42">
        <v>0.1525901234567901</v>
      </c>
      <c r="E15" s="42">
        <v>5721.4519921503697</v>
      </c>
      <c r="F15" s="42">
        <v>0.10249999999999999</v>
      </c>
      <c r="G15" s="42">
        <v>3843.29480775</v>
      </c>
    </row>
    <row r="16" spans="2:14" x14ac:dyDescent="0.35">
      <c r="E16" s="43"/>
      <c r="F16" s="43"/>
      <c r="G16" s="43"/>
      <c r="I16" s="17"/>
      <c r="J16" s="17"/>
      <c r="K16" s="17"/>
      <c r="L16" s="17"/>
      <c r="M16" s="17"/>
      <c r="N16" s="17"/>
    </row>
    <row r="17" spans="2:14" x14ac:dyDescent="0.35">
      <c r="B17" s="18" t="s">
        <v>13</v>
      </c>
      <c r="C17" s="44" t="s">
        <v>14</v>
      </c>
      <c r="D17" s="44" t="s">
        <v>38</v>
      </c>
      <c r="E17" s="44" t="s">
        <v>37</v>
      </c>
      <c r="F17" s="44" t="s">
        <v>42</v>
      </c>
      <c r="G17" s="44" t="s">
        <v>41</v>
      </c>
      <c r="I17" s="17"/>
      <c r="J17" s="19"/>
      <c r="K17" s="19"/>
      <c r="L17" s="17"/>
      <c r="M17" s="17"/>
      <c r="N17" s="17"/>
    </row>
    <row r="18" spans="2:14" ht="5.15" customHeight="1" x14ac:dyDescent="0.35">
      <c r="I18" s="17"/>
      <c r="J18" s="17"/>
      <c r="K18" s="17"/>
      <c r="L18" s="17"/>
      <c r="M18" s="17"/>
      <c r="N18" s="17"/>
    </row>
    <row r="19" spans="2:14" ht="12.75" customHeight="1" x14ac:dyDescent="0.35">
      <c r="B19" s="20" t="s">
        <v>3</v>
      </c>
      <c r="C19" s="45">
        <v>25.349794238683128</v>
      </c>
      <c r="D19" s="45">
        <v>17.111387994411995</v>
      </c>
      <c r="E19" s="46">
        <v>979.01984929086427</v>
      </c>
      <c r="F19" s="45">
        <v>30.914383217906256</v>
      </c>
      <c r="G19" s="46">
        <v>1188.1308850617286</v>
      </c>
      <c r="I19" s="17"/>
      <c r="J19" s="21"/>
      <c r="K19" s="21"/>
      <c r="L19" s="17"/>
      <c r="M19" s="17"/>
      <c r="N19" s="17"/>
    </row>
    <row r="20" spans="2:14" x14ac:dyDescent="0.35">
      <c r="B20" s="22" t="s">
        <v>15</v>
      </c>
      <c r="C20" s="45">
        <v>21.563786008230451</v>
      </c>
      <c r="D20" s="45">
        <v>21.056435648904785</v>
      </c>
      <c r="E20" s="46">
        <v>1204.7338569101234</v>
      </c>
      <c r="F20" s="45">
        <v>15.778380006022282</v>
      </c>
      <c r="G20" s="46">
        <v>606.40965951851854</v>
      </c>
      <c r="I20" s="17"/>
      <c r="J20" s="21"/>
      <c r="K20" s="21"/>
      <c r="L20" s="17"/>
      <c r="M20" s="17"/>
      <c r="N20" s="17"/>
    </row>
    <row r="21" spans="2:14" x14ac:dyDescent="0.35">
      <c r="B21" s="23" t="s">
        <v>16</v>
      </c>
      <c r="C21" s="45">
        <v>16.954732510288064</v>
      </c>
      <c r="D21" s="45">
        <v>17.666952539685109</v>
      </c>
      <c r="E21" s="46">
        <v>1010.8062080340741</v>
      </c>
      <c r="F21" s="45">
        <v>9.5938974204556864</v>
      </c>
      <c r="G21" s="46">
        <v>368.72176142123459</v>
      </c>
      <c r="I21" s="17"/>
      <c r="J21" s="24"/>
      <c r="K21" s="24"/>
      <c r="L21" s="25"/>
      <c r="M21" s="17"/>
      <c r="N21" s="17"/>
    </row>
    <row r="22" spans="2:14" x14ac:dyDescent="0.35">
      <c r="B22" s="23" t="s">
        <v>17</v>
      </c>
      <c r="C22" s="45">
        <v>11.851851851851851</v>
      </c>
      <c r="D22" s="45">
        <v>10.019579604847975</v>
      </c>
      <c r="E22" s="46">
        <v>573.26543690666665</v>
      </c>
      <c r="F22" s="45">
        <v>6.1282746160794943</v>
      </c>
      <c r="G22" s="46">
        <v>235.52766012444445</v>
      </c>
      <c r="I22" s="17"/>
      <c r="J22" s="17"/>
      <c r="K22" s="17"/>
      <c r="L22" s="17"/>
      <c r="M22" s="17"/>
      <c r="N22" s="17"/>
    </row>
    <row r="23" spans="2:14" x14ac:dyDescent="0.35">
      <c r="B23" s="23" t="s">
        <v>18</v>
      </c>
      <c r="C23" s="45">
        <v>7.6131687242798352</v>
      </c>
      <c r="D23" s="45">
        <v>5.6379013684148083</v>
      </c>
      <c r="E23" s="46">
        <v>322.56982015864202</v>
      </c>
      <c r="F23" s="45">
        <v>4.9021379102679914</v>
      </c>
      <c r="G23" s="46">
        <v>188.40361177407408</v>
      </c>
      <c r="I23" s="17"/>
      <c r="J23" s="17"/>
      <c r="K23" s="17"/>
      <c r="L23" s="17"/>
      <c r="M23" s="17"/>
      <c r="N23" s="17"/>
    </row>
    <row r="24" spans="2:14" x14ac:dyDescent="0.35">
      <c r="B24" s="23" t="s">
        <v>4</v>
      </c>
      <c r="C24" s="45">
        <v>16.666666666666668</v>
      </c>
      <c r="D24" s="45">
        <v>28.507742843735343</v>
      </c>
      <c r="E24" s="46">
        <v>1631.0568208500003</v>
      </c>
      <c r="F24" s="45">
        <v>32.682926829268297</v>
      </c>
      <c r="G24" s="46">
        <v>1256.1012298500002</v>
      </c>
      <c r="I24" s="17"/>
      <c r="J24" s="17"/>
      <c r="K24" s="17"/>
      <c r="L24" s="17"/>
      <c r="M24" s="17"/>
      <c r="N24" s="17"/>
    </row>
    <row r="25" spans="2:14" x14ac:dyDescent="0.35">
      <c r="B25" s="26" t="s">
        <v>19</v>
      </c>
      <c r="C25" s="42">
        <v>100</v>
      </c>
      <c r="D25" s="42">
        <v>100.00000000000001</v>
      </c>
      <c r="E25" s="42">
        <v>5721.4519921503706</v>
      </c>
      <c r="F25" s="42">
        <v>100.00000000000001</v>
      </c>
      <c r="G25" s="42">
        <v>3843.2948077500005</v>
      </c>
    </row>
    <row r="26" spans="2:14" ht="15" thickBot="1" x14ac:dyDescent="0.4">
      <c r="B26" s="27" t="s">
        <v>20</v>
      </c>
      <c r="D26" s="47" t="s">
        <v>39</v>
      </c>
      <c r="E26" s="32" t="s">
        <v>37</v>
      </c>
      <c r="F26" s="47" t="s">
        <v>43</v>
      </c>
      <c r="G26" s="32" t="s">
        <v>41</v>
      </c>
    </row>
    <row r="27" spans="2:14" ht="9" customHeight="1" x14ac:dyDescent="0.35"/>
    <row r="28" spans="2:14" x14ac:dyDescent="0.35">
      <c r="B28" s="26" t="s">
        <v>21</v>
      </c>
      <c r="D28" s="45">
        <v>12.340887773464328</v>
      </c>
      <c r="E28" s="46">
        <v>120.81974088092515</v>
      </c>
      <c r="F28" s="45">
        <v>7.9819856093194543</v>
      </c>
      <c r="G28" s="46">
        <v>94.836436265507047</v>
      </c>
    </row>
    <row r="29" spans="2:14" x14ac:dyDescent="0.35">
      <c r="B29" s="26" t="s">
        <v>22</v>
      </c>
      <c r="D29" s="45">
        <v>64.383593980775444</v>
      </c>
      <c r="E29" s="46">
        <v>630.32816475862967</v>
      </c>
      <c r="F29" s="45">
        <v>73.142301662059168</v>
      </c>
      <c r="G29" s="46">
        <v>869.02627609194303</v>
      </c>
    </row>
    <row r="30" spans="2:14" x14ac:dyDescent="0.35">
      <c r="B30" s="26" t="s">
        <v>23</v>
      </c>
      <c r="D30" s="45">
        <v>7.0469375817369739</v>
      </c>
      <c r="E30" s="46">
        <v>68.990917692342592</v>
      </c>
      <c r="F30" s="45">
        <v>0</v>
      </c>
      <c r="G30" s="46"/>
    </row>
    <row r="31" spans="2:14" x14ac:dyDescent="0.35">
      <c r="B31" s="26" t="s">
        <v>24</v>
      </c>
      <c r="D31" s="45">
        <v>13.71346779959698</v>
      </c>
      <c r="E31" s="46">
        <v>134.25757178416555</v>
      </c>
      <c r="F31" s="45">
        <v>18.81403310709003</v>
      </c>
      <c r="G31" s="46">
        <v>223.53533807107542</v>
      </c>
    </row>
    <row r="32" spans="2:14" x14ac:dyDescent="0.35">
      <c r="B32" s="28" t="s">
        <v>44</v>
      </c>
      <c r="D32" s="45">
        <v>0.55873702013684878</v>
      </c>
      <c r="E32" s="46">
        <v>5.4701463324760429</v>
      </c>
      <c r="F32" s="45">
        <v>6.1679621531357913E-2</v>
      </c>
      <c r="G32" s="46">
        <v>0.73283463320324727</v>
      </c>
    </row>
    <row r="33" spans="2:8" x14ac:dyDescent="0.35">
      <c r="B33" s="28" t="s">
        <v>1</v>
      </c>
      <c r="D33" s="45">
        <v>1.9563758442894286</v>
      </c>
      <c r="E33" s="46">
        <v>19.153307842325237</v>
      </c>
      <c r="F33" s="45"/>
      <c r="G33" s="46"/>
    </row>
    <row r="34" spans="2:8" hidden="1" x14ac:dyDescent="0.35">
      <c r="B34" s="28" t="s">
        <v>25</v>
      </c>
      <c r="D34" s="45"/>
      <c r="E34" s="46"/>
      <c r="F34" s="45"/>
      <c r="G34" s="46">
        <v>0</v>
      </c>
    </row>
    <row r="35" spans="2:8" hidden="1" x14ac:dyDescent="0.35">
      <c r="B35" s="28" t="s">
        <v>26</v>
      </c>
      <c r="D35" s="45"/>
      <c r="E35" s="46"/>
      <c r="F35" s="45"/>
      <c r="G35" s="46">
        <v>0</v>
      </c>
    </row>
    <row r="36" spans="2:8" x14ac:dyDescent="0.35">
      <c r="B36" s="26" t="s">
        <v>19</v>
      </c>
      <c r="D36" s="42">
        <v>100</v>
      </c>
      <c r="E36" s="42">
        <v>979.01984929086416</v>
      </c>
      <c r="F36" s="42">
        <v>100</v>
      </c>
      <c r="G36" s="42">
        <v>1188.1308850617288</v>
      </c>
    </row>
    <row r="37" spans="2:8" ht="5.15" customHeight="1" x14ac:dyDescent="0.35">
      <c r="D37" s="48"/>
      <c r="F37" s="48"/>
      <c r="G37" s="48"/>
    </row>
    <row r="38" spans="2:8" x14ac:dyDescent="0.35">
      <c r="B38" s="26" t="s">
        <v>27</v>
      </c>
      <c r="D38" s="46">
        <v>78.680857598529201</v>
      </c>
      <c r="E38" s="49">
        <v>770.30121348188004</v>
      </c>
      <c r="F38" s="46">
        <v>81.12428727137862</v>
      </c>
      <c r="G38" s="46">
        <v>963.86271235745005</v>
      </c>
      <c r="H38" s="29"/>
    </row>
    <row r="39" spans="2:8" x14ac:dyDescent="0.35">
      <c r="B39" s="26" t="s">
        <v>28</v>
      </c>
      <c r="D39" s="46">
        <v>21.319142401470803</v>
      </c>
      <c r="E39" s="49">
        <v>208.7186358089842</v>
      </c>
      <c r="F39" s="46">
        <v>18.875712728621398</v>
      </c>
      <c r="G39" s="46">
        <v>224.26817270427875</v>
      </c>
    </row>
    <row r="41" spans="2:8" ht="15" thickBot="1" x14ac:dyDescent="0.4">
      <c r="B41" s="30" t="s">
        <v>29</v>
      </c>
      <c r="D41" s="47" t="s">
        <v>39</v>
      </c>
      <c r="E41" s="32" t="s">
        <v>37</v>
      </c>
      <c r="F41" s="47" t="s">
        <v>43</v>
      </c>
      <c r="G41" s="32" t="s">
        <v>41</v>
      </c>
    </row>
    <row r="42" spans="2:8" ht="5.15" customHeight="1" x14ac:dyDescent="0.35"/>
    <row r="43" spans="2:8" x14ac:dyDescent="0.35">
      <c r="B43" s="26" t="s">
        <v>21</v>
      </c>
      <c r="D43" s="45">
        <v>13.303709864086251</v>
      </c>
      <c r="E43" s="46">
        <v>160.27429695773884</v>
      </c>
      <c r="F43" s="45">
        <v>0</v>
      </c>
      <c r="G43" s="46">
        <v>0</v>
      </c>
    </row>
    <row r="44" spans="2:8" x14ac:dyDescent="0.35">
      <c r="B44" s="26" t="s">
        <v>22</v>
      </c>
      <c r="D44" s="45">
        <v>55.947296884557211</v>
      </c>
      <c r="E44" s="46">
        <v>674.0160275942834</v>
      </c>
      <c r="F44" s="45">
        <v>11.40417294613184</v>
      </c>
      <c r="G44" s="46">
        <v>69.1560063335411</v>
      </c>
    </row>
    <row r="45" spans="2:8" x14ac:dyDescent="0.35">
      <c r="B45" s="26" t="s">
        <v>23</v>
      </c>
      <c r="D45" s="45">
        <v>6.6371258087024776</v>
      </c>
      <c r="E45" s="46">
        <v>79.95970174315859</v>
      </c>
      <c r="F45" s="45">
        <v>0</v>
      </c>
      <c r="G45" s="46">
        <v>0</v>
      </c>
    </row>
    <row r="46" spans="2:8" x14ac:dyDescent="0.35">
      <c r="B46" s="26" t="s">
        <v>24</v>
      </c>
      <c r="D46" s="45">
        <v>8.6124969190835845</v>
      </c>
      <c r="E46" s="46">
        <v>103.75766630954122</v>
      </c>
      <c r="F46" s="45">
        <v>88.595827053868149</v>
      </c>
      <c r="G46" s="46">
        <v>537.25365318497734</v>
      </c>
    </row>
    <row r="47" spans="2:8" x14ac:dyDescent="0.35">
      <c r="B47" s="28" t="s">
        <v>44</v>
      </c>
      <c r="D47" s="45">
        <v>0.13968412292264079</v>
      </c>
      <c r="E47" s="46">
        <v>1.6828219215770082</v>
      </c>
      <c r="F47" s="45">
        <v>0</v>
      </c>
      <c r="G47" s="46">
        <v>0</v>
      </c>
    </row>
    <row r="48" spans="2:8" x14ac:dyDescent="0.35">
      <c r="B48" s="28" t="s">
        <v>1</v>
      </c>
      <c r="D48" s="45">
        <v>15.359686400647826</v>
      </c>
      <c r="E48" s="46">
        <v>185.04334238382427</v>
      </c>
      <c r="F48" s="45"/>
      <c r="G48" s="46">
        <v>0</v>
      </c>
    </row>
    <row r="49" spans="2:7" hidden="1" x14ac:dyDescent="0.35">
      <c r="B49" s="28" t="s">
        <v>25</v>
      </c>
      <c r="D49" s="45"/>
      <c r="E49" s="46">
        <v>0</v>
      </c>
      <c r="F49" s="45"/>
      <c r="G49" s="46">
        <v>0</v>
      </c>
    </row>
    <row r="50" spans="2:7" hidden="1" x14ac:dyDescent="0.35">
      <c r="B50" s="28" t="s">
        <v>26</v>
      </c>
      <c r="D50" s="45"/>
      <c r="E50" s="46">
        <v>0</v>
      </c>
      <c r="F50" s="45"/>
      <c r="G50" s="46">
        <v>0</v>
      </c>
    </row>
    <row r="51" spans="2:7" x14ac:dyDescent="0.35">
      <c r="B51" s="26" t="s">
        <v>19</v>
      </c>
      <c r="D51" s="42">
        <v>100</v>
      </c>
      <c r="E51" s="42">
        <v>1204.7338569101232</v>
      </c>
      <c r="F51" s="42">
        <v>99.999999999999986</v>
      </c>
      <c r="G51" s="42">
        <v>606.40965951851842</v>
      </c>
    </row>
    <row r="52" spans="2:7" ht="5.15" customHeight="1" x14ac:dyDescent="0.35">
      <c r="D52" s="48"/>
      <c r="E52" s="48"/>
      <c r="F52" s="48"/>
      <c r="G52" s="48"/>
    </row>
    <row r="53" spans="2:7" x14ac:dyDescent="0.35">
      <c r="B53" s="26" t="s">
        <v>27</v>
      </c>
      <c r="D53" s="46">
        <v>84.610693149291265</v>
      </c>
      <c r="E53" s="46">
        <v>1019.3336669358464</v>
      </c>
      <c r="F53" s="46">
        <v>11.40417294613184</v>
      </c>
      <c r="G53" s="46">
        <v>69.1560063335411</v>
      </c>
    </row>
    <row r="54" spans="2:7" x14ac:dyDescent="0.35">
      <c r="B54" s="26" t="s">
        <v>28</v>
      </c>
      <c r="D54" s="46">
        <v>15.389306850708703</v>
      </c>
      <c r="E54" s="49">
        <v>185.40018997427683</v>
      </c>
      <c r="F54" s="46">
        <v>88.595827053868149</v>
      </c>
      <c r="G54" s="46">
        <v>537.25365318497734</v>
      </c>
    </row>
    <row r="56" spans="2:7" ht="15" thickBot="1" x14ac:dyDescent="0.4">
      <c r="B56" s="30" t="s">
        <v>30</v>
      </c>
      <c r="D56" s="47" t="s">
        <v>39</v>
      </c>
      <c r="E56" s="32" t="s">
        <v>37</v>
      </c>
      <c r="F56" s="47" t="s">
        <v>43</v>
      </c>
      <c r="G56" s="32" t="s">
        <v>41</v>
      </c>
    </row>
    <row r="57" spans="2:7" ht="5.15" customHeight="1" x14ac:dyDescent="0.35"/>
    <row r="58" spans="2:7" x14ac:dyDescent="0.35">
      <c r="B58" s="26" t="s">
        <v>21</v>
      </c>
      <c r="D58" s="45">
        <v>30.087776513799994</v>
      </c>
      <c r="E58" s="46">
        <v>304.12911286090849</v>
      </c>
      <c r="F58" s="45">
        <v>12.921553238014216</v>
      </c>
      <c r="G58" s="46">
        <v>47.644578702188589</v>
      </c>
    </row>
    <row r="59" spans="2:7" x14ac:dyDescent="0.35">
      <c r="B59" s="26" t="s">
        <v>22</v>
      </c>
      <c r="D59" s="45">
        <v>48.428955347558841</v>
      </c>
      <c r="E59" s="46">
        <v>489.52288713917443</v>
      </c>
      <c r="F59" s="45">
        <v>47.184438105447725</v>
      </c>
      <c r="G59" s="46">
        <v>173.97929129911907</v>
      </c>
    </row>
    <row r="60" spans="2:7" x14ac:dyDescent="0.35">
      <c r="B60" s="26" t="s">
        <v>23</v>
      </c>
      <c r="D60" s="45">
        <v>11.965389299132639</v>
      </c>
      <c r="E60" s="46">
        <v>120.94689785107751</v>
      </c>
      <c r="F60" s="45">
        <v>0</v>
      </c>
      <c r="G60" s="46">
        <v>0</v>
      </c>
    </row>
    <row r="61" spans="2:7" x14ac:dyDescent="0.35">
      <c r="B61" s="26" t="s">
        <v>24</v>
      </c>
      <c r="D61" s="45">
        <v>6.3723792388917468</v>
      </c>
      <c r="E61" s="46">
        <v>64.412404946192254</v>
      </c>
      <c r="F61" s="45">
        <v>27.300252145525331</v>
      </c>
      <c r="G61" s="46">
        <v>100.6619705834194</v>
      </c>
    </row>
    <row r="62" spans="2:7" x14ac:dyDescent="0.35">
      <c r="B62" s="28" t="s">
        <v>44</v>
      </c>
      <c r="D62" s="45">
        <v>0.10920818964732659</v>
      </c>
      <c r="E62" s="46">
        <v>1.1038831606368023</v>
      </c>
      <c r="F62" s="45">
        <v>12.59375651101273</v>
      </c>
      <c r="G62" s="46">
        <v>46.435920836507556</v>
      </c>
    </row>
    <row r="63" spans="2:7" x14ac:dyDescent="0.35">
      <c r="B63" s="28" t="s">
        <v>1</v>
      </c>
      <c r="D63" s="45">
        <v>3.0362914109694441</v>
      </c>
      <c r="E63" s="46">
        <v>30.691022076084522</v>
      </c>
      <c r="F63" s="45"/>
      <c r="G63" s="46"/>
    </row>
    <row r="64" spans="2:7" hidden="1" x14ac:dyDescent="0.35">
      <c r="B64" s="28" t="s">
        <v>25</v>
      </c>
      <c r="D64" s="45"/>
      <c r="E64" s="46">
        <v>0</v>
      </c>
      <c r="F64" s="45"/>
      <c r="G64" s="46"/>
    </row>
    <row r="65" spans="2:7" hidden="1" x14ac:dyDescent="0.35">
      <c r="B65" s="28" t="s">
        <v>26</v>
      </c>
      <c r="D65" s="45"/>
      <c r="E65" s="46">
        <v>0</v>
      </c>
      <c r="F65" s="45"/>
      <c r="G65" s="46"/>
    </row>
    <row r="66" spans="2:7" x14ac:dyDescent="0.35">
      <c r="B66" s="26" t="s">
        <v>19</v>
      </c>
      <c r="D66" s="42">
        <v>100</v>
      </c>
      <c r="E66" s="42">
        <v>1010.8062080340741</v>
      </c>
      <c r="F66" s="42">
        <v>100</v>
      </c>
      <c r="G66" s="42">
        <v>368.72176142123459</v>
      </c>
    </row>
    <row r="67" spans="2:7" ht="5.15" customHeight="1" x14ac:dyDescent="0.35">
      <c r="D67" s="48"/>
      <c r="E67" s="48"/>
      <c r="F67" s="48"/>
      <c r="G67" s="48"/>
    </row>
    <row r="68" spans="2:7" x14ac:dyDescent="0.35">
      <c r="B68" s="26" t="s">
        <v>27</v>
      </c>
      <c r="D68" s="46">
        <v>81.553023272328289</v>
      </c>
      <c r="E68" s="46">
        <v>824.34302207616747</v>
      </c>
      <c r="F68" s="46">
        <v>60.105991343461938</v>
      </c>
      <c r="G68" s="46">
        <v>221.62387000130767</v>
      </c>
    </row>
    <row r="69" spans="2:7" x14ac:dyDescent="0.35">
      <c r="B69" s="26" t="s">
        <v>28</v>
      </c>
      <c r="D69" s="46">
        <v>18.446976727671714</v>
      </c>
      <c r="E69" s="49">
        <v>186.46318595790657</v>
      </c>
      <c r="F69" s="46">
        <v>39.894008656538055</v>
      </c>
      <c r="G69" s="46">
        <v>147.09789141992692</v>
      </c>
    </row>
    <row r="71" spans="2:7" ht="15" thickBot="1" x14ac:dyDescent="0.4">
      <c r="B71" s="30" t="s">
        <v>31</v>
      </c>
      <c r="D71" s="47" t="s">
        <v>39</v>
      </c>
      <c r="E71" s="32" t="s">
        <v>37</v>
      </c>
      <c r="F71" s="47" t="s">
        <v>43</v>
      </c>
      <c r="G71" s="32" t="s">
        <v>41</v>
      </c>
    </row>
    <row r="72" spans="2:7" ht="5.15" customHeight="1" x14ac:dyDescent="0.35"/>
    <row r="73" spans="2:7" x14ac:dyDescent="0.35">
      <c r="B73" s="26" t="s">
        <v>21</v>
      </c>
      <c r="D73" s="45">
        <v>26.42148404038279</v>
      </c>
      <c r="E73" s="46">
        <v>151.46523592132561</v>
      </c>
      <c r="F73" s="45">
        <v>0</v>
      </c>
      <c r="G73" s="46">
        <v>0</v>
      </c>
    </row>
    <row r="74" spans="2:7" x14ac:dyDescent="0.35">
      <c r="B74" s="26" t="s">
        <v>22</v>
      </c>
      <c r="D74" s="45">
        <v>38.500394153426086</v>
      </c>
      <c r="E74" s="46">
        <v>220.70945275442679</v>
      </c>
      <c r="F74" s="45">
        <v>14.118608799727181</v>
      </c>
      <c r="G74" s="46">
        <v>33.25322894812134</v>
      </c>
    </row>
    <row r="75" spans="2:7" x14ac:dyDescent="0.35">
      <c r="B75" s="26" t="s">
        <v>23</v>
      </c>
      <c r="D75" s="45">
        <v>20.361087952067962</v>
      </c>
      <c r="E75" s="46">
        <v>116.72307980737305</v>
      </c>
      <c r="F75" s="45">
        <v>0</v>
      </c>
      <c r="G75" s="46">
        <v>0</v>
      </c>
    </row>
    <row r="76" spans="2:7" x14ac:dyDescent="0.35">
      <c r="B76" s="26" t="s">
        <v>24</v>
      </c>
      <c r="D76" s="45">
        <v>13.265004303617776</v>
      </c>
      <c r="E76" s="46">
        <v>76.043684876822567</v>
      </c>
      <c r="F76" s="45">
        <v>85.881391200272816</v>
      </c>
      <c r="G76" s="46">
        <v>202.27443117632311</v>
      </c>
    </row>
    <row r="77" spans="2:7" x14ac:dyDescent="0.35">
      <c r="B77" s="28" t="s">
        <v>44</v>
      </c>
      <c r="D77" s="45">
        <v>2.0958340943664951E-2</v>
      </c>
      <c r="E77" s="46">
        <v>0.12014692477908968</v>
      </c>
      <c r="F77" s="45">
        <v>0</v>
      </c>
      <c r="G77" s="46">
        <v>0</v>
      </c>
    </row>
    <row r="78" spans="2:7" x14ac:dyDescent="0.35">
      <c r="B78" s="28" t="s">
        <v>1</v>
      </c>
      <c r="D78" s="45">
        <v>1.4310712095617255</v>
      </c>
      <c r="E78" s="46">
        <v>8.2038366219395442</v>
      </c>
      <c r="F78" s="45"/>
      <c r="G78" s="46"/>
    </row>
    <row r="79" spans="2:7" hidden="1" x14ac:dyDescent="0.35">
      <c r="B79" s="28" t="s">
        <v>25</v>
      </c>
      <c r="D79" s="45"/>
      <c r="E79" s="46">
        <v>0</v>
      </c>
      <c r="F79" s="45"/>
      <c r="G79" s="46"/>
    </row>
    <row r="80" spans="2:7" hidden="1" x14ac:dyDescent="0.35">
      <c r="B80" s="28" t="s">
        <v>26</v>
      </c>
      <c r="D80" s="45"/>
      <c r="E80" s="46">
        <v>0</v>
      </c>
      <c r="F80" s="45"/>
      <c r="G80" s="46"/>
    </row>
    <row r="81" spans="2:7" x14ac:dyDescent="0.35">
      <c r="B81" s="26" t="s">
        <v>19</v>
      </c>
      <c r="D81" s="42">
        <v>100</v>
      </c>
      <c r="E81" s="42">
        <v>573.26543690666665</v>
      </c>
      <c r="F81" s="42">
        <v>100</v>
      </c>
      <c r="G81" s="42">
        <v>235.52766012444445</v>
      </c>
    </row>
    <row r="82" spans="2:7" ht="5.15" customHeight="1" x14ac:dyDescent="0.35">
      <c r="D82" s="48"/>
      <c r="E82" s="48"/>
      <c r="F82" s="48"/>
      <c r="G82" s="48"/>
    </row>
    <row r="83" spans="2:7" x14ac:dyDescent="0.35">
      <c r="B83" s="26" t="s">
        <v>27</v>
      </c>
      <c r="D83" s="46">
        <v>66.352949403370616</v>
      </c>
      <c r="E83" s="46">
        <v>380.37852529769197</v>
      </c>
      <c r="F83" s="46">
        <v>14.118608799727181</v>
      </c>
      <c r="G83" s="46">
        <v>33.25322894812134</v>
      </c>
    </row>
    <row r="84" spans="2:7" x14ac:dyDescent="0.35">
      <c r="B84" s="26" t="s">
        <v>28</v>
      </c>
      <c r="D84" s="46">
        <v>33.647050596629398</v>
      </c>
      <c r="E84" s="49">
        <v>192.88691160897469</v>
      </c>
      <c r="F84" s="46">
        <v>85.881391200272816</v>
      </c>
      <c r="G84" s="46">
        <v>202.27443117632311</v>
      </c>
    </row>
    <row r="86" spans="2:7" ht="15" thickBot="1" x14ac:dyDescent="0.4">
      <c r="B86" s="31" t="s">
        <v>32</v>
      </c>
      <c r="D86" s="47" t="s">
        <v>39</v>
      </c>
      <c r="E86" s="32" t="s">
        <v>37</v>
      </c>
      <c r="F86" s="47" t="s">
        <v>43</v>
      </c>
      <c r="G86" s="32" t="s">
        <v>41</v>
      </c>
    </row>
    <row r="87" spans="2:7" ht="5.15" customHeight="1" x14ac:dyDescent="0.35"/>
    <row r="88" spans="2:7" x14ac:dyDescent="0.35">
      <c r="B88" s="26" t="s">
        <v>21</v>
      </c>
      <c r="D88" s="45">
        <v>38.487148771835891</v>
      </c>
      <c r="E88" s="46">
        <v>124.14792657750003</v>
      </c>
      <c r="F88" s="45">
        <v>3.8635797022985874</v>
      </c>
      <c r="G88" s="46">
        <v>7.2791237029005584</v>
      </c>
    </row>
    <row r="89" spans="2:7" x14ac:dyDescent="0.35">
      <c r="B89" s="26" t="s">
        <v>22</v>
      </c>
      <c r="D89" s="45">
        <v>31.492498995042823</v>
      </c>
      <c r="E89" s="46">
        <v>101.58529737177177</v>
      </c>
      <c r="F89" s="45">
        <v>17.457656432607124</v>
      </c>
      <c r="G89" s="46">
        <v>32.890855250140795</v>
      </c>
    </row>
    <row r="90" spans="2:7" x14ac:dyDescent="0.35">
      <c r="B90" s="26" t="s">
        <v>23</v>
      </c>
      <c r="D90" s="45">
        <v>23.940008929611562</v>
      </c>
      <c r="E90" s="46">
        <v>77.223243750210855</v>
      </c>
      <c r="F90" s="45">
        <v>0</v>
      </c>
      <c r="G90" s="46">
        <v>0</v>
      </c>
    </row>
    <row r="91" spans="2:7" x14ac:dyDescent="0.35">
      <c r="B91" s="26" t="s">
        <v>24</v>
      </c>
      <c r="D91" s="45">
        <v>5.4557565416404827</v>
      </c>
      <c r="E91" s="46">
        <v>17.598624064663053</v>
      </c>
      <c r="F91" s="45">
        <v>78.678763865094282</v>
      </c>
      <c r="G91" s="46">
        <v>148.2336328210327</v>
      </c>
    </row>
    <row r="92" spans="2:7" x14ac:dyDescent="0.35">
      <c r="B92" s="28" t="s">
        <v>44</v>
      </c>
      <c r="D92" s="45">
        <v>6.7205862117496032E-2</v>
      </c>
      <c r="E92" s="46">
        <v>0.21678582856847187</v>
      </c>
      <c r="F92" s="45">
        <v>0</v>
      </c>
      <c r="G92" s="46"/>
    </row>
    <row r="93" spans="2:7" x14ac:dyDescent="0.35">
      <c r="B93" s="28" t="s">
        <v>1</v>
      </c>
      <c r="D93" s="45">
        <v>0.55738089975174965</v>
      </c>
      <c r="E93" s="46">
        <v>1.7979425659278394</v>
      </c>
      <c r="F93" s="45"/>
      <c r="G93" s="46"/>
    </row>
    <row r="94" spans="2:7" hidden="1" x14ac:dyDescent="0.35">
      <c r="B94" s="28" t="s">
        <v>25</v>
      </c>
      <c r="D94" s="45"/>
      <c r="E94" s="46">
        <v>0</v>
      </c>
      <c r="F94" s="45"/>
      <c r="G94" s="46"/>
    </row>
    <row r="95" spans="2:7" hidden="1" x14ac:dyDescent="0.35">
      <c r="B95" s="28" t="s">
        <v>26</v>
      </c>
      <c r="D95" s="45"/>
      <c r="E95" s="46">
        <v>0</v>
      </c>
      <c r="F95" s="45"/>
      <c r="G95" s="46"/>
    </row>
    <row r="96" spans="2:7" x14ac:dyDescent="0.35">
      <c r="B96" s="26" t="s">
        <v>19</v>
      </c>
      <c r="D96" s="42">
        <v>100</v>
      </c>
      <c r="E96" s="42">
        <v>322.56982015864202</v>
      </c>
      <c r="F96" s="42">
        <v>100</v>
      </c>
      <c r="G96" s="42">
        <v>188.40361177407405</v>
      </c>
    </row>
    <row r="97" spans="2:7" ht="5.15" customHeight="1" x14ac:dyDescent="0.35">
      <c r="D97" s="48"/>
      <c r="E97" s="48"/>
      <c r="F97" s="48"/>
      <c r="G97" s="48"/>
    </row>
    <row r="98" spans="2:7" x14ac:dyDescent="0.35">
      <c r="B98" s="26" t="s">
        <v>27</v>
      </c>
      <c r="D98" s="46">
        <v>70.537028666630448</v>
      </c>
      <c r="E98" s="46">
        <v>227.53116651519963</v>
      </c>
      <c r="F98" s="46">
        <v>21.32123613490571</v>
      </c>
      <c r="G98" s="46">
        <v>40.169978953041351</v>
      </c>
    </row>
    <row r="99" spans="2:7" x14ac:dyDescent="0.35">
      <c r="B99" s="26" t="s">
        <v>28</v>
      </c>
      <c r="D99" s="46">
        <v>29.462971333369541</v>
      </c>
      <c r="E99" s="49">
        <v>95.038653643442387</v>
      </c>
      <c r="F99" s="46">
        <v>78.678763865094268</v>
      </c>
      <c r="G99" s="46">
        <v>148.2336328210327</v>
      </c>
    </row>
    <row r="100" spans="2:7" x14ac:dyDescent="0.35">
      <c r="B100" s="17"/>
    </row>
    <row r="101" spans="2:7" ht="15" thickBot="1" x14ac:dyDescent="0.4">
      <c r="B101" s="31" t="s">
        <v>33</v>
      </c>
      <c r="D101" s="47" t="s">
        <v>39</v>
      </c>
      <c r="E101" s="32" t="s">
        <v>37</v>
      </c>
      <c r="F101" s="47" t="s">
        <v>43</v>
      </c>
      <c r="G101" s="32" t="s">
        <v>41</v>
      </c>
    </row>
    <row r="102" spans="2:7" ht="5.15" customHeight="1" x14ac:dyDescent="0.35"/>
    <row r="103" spans="2:7" x14ac:dyDescent="0.35">
      <c r="B103" s="26" t="s">
        <v>21</v>
      </c>
      <c r="D103" s="45">
        <v>76.818352205176765</v>
      </c>
      <c r="E103" s="46">
        <v>1252.9509733071122</v>
      </c>
      <c r="F103" s="45">
        <v>47.435453956526899</v>
      </c>
      <c r="G103" s="46">
        <v>595.83732053286496</v>
      </c>
    </row>
    <row r="104" spans="2:7" x14ac:dyDescent="0.35">
      <c r="B104" s="26" t="s">
        <v>22</v>
      </c>
      <c r="D104" s="45">
        <v>0</v>
      </c>
      <c r="E104" s="46">
        <v>0</v>
      </c>
      <c r="F104" s="45">
        <v>0</v>
      </c>
      <c r="G104" s="46">
        <v>0</v>
      </c>
    </row>
    <row r="105" spans="2:7" x14ac:dyDescent="0.35">
      <c r="B105" s="26" t="s">
        <v>23</v>
      </c>
      <c r="D105" s="45">
        <v>15.122886697637481</v>
      </c>
      <c r="E105" s="46">
        <v>246.66287499123348</v>
      </c>
      <c r="F105" s="45">
        <v>0</v>
      </c>
      <c r="G105" s="46">
        <v>0</v>
      </c>
    </row>
    <row r="106" spans="2:7" x14ac:dyDescent="0.35">
      <c r="B106" s="26" t="s">
        <v>24</v>
      </c>
      <c r="D106" s="45">
        <v>7.6042772747825484</v>
      </c>
      <c r="E106" s="46">
        <v>124.03008316668729</v>
      </c>
      <c r="F106" s="45">
        <v>50.491163280707262</v>
      </c>
      <c r="G106" s="46">
        <v>634.22012293453565</v>
      </c>
    </row>
    <row r="107" spans="2:7" x14ac:dyDescent="0.35">
      <c r="B107" s="28" t="s">
        <v>44</v>
      </c>
      <c r="D107" s="45">
        <v>0.10406139960551605</v>
      </c>
      <c r="E107" s="46">
        <v>1.697300556137745</v>
      </c>
      <c r="F107" s="45">
        <v>2.0733827627658319</v>
      </c>
      <c r="G107" s="46">
        <v>26.043786382599524</v>
      </c>
    </row>
    <row r="108" spans="2:7" x14ac:dyDescent="0.35">
      <c r="B108" s="28" t="s">
        <v>1</v>
      </c>
      <c r="D108" s="45">
        <v>0.35042242279768138</v>
      </c>
      <c r="E108" s="46">
        <v>5.715588828829409</v>
      </c>
      <c r="F108" s="45"/>
      <c r="G108" s="46"/>
    </row>
    <row r="109" spans="2:7" hidden="1" x14ac:dyDescent="0.35">
      <c r="B109" s="28" t="s">
        <v>25</v>
      </c>
      <c r="D109" s="45"/>
      <c r="E109" s="46">
        <v>0</v>
      </c>
      <c r="F109" s="45"/>
      <c r="G109" s="46"/>
    </row>
    <row r="110" spans="2:7" hidden="1" x14ac:dyDescent="0.35">
      <c r="B110" s="28" t="s">
        <v>26</v>
      </c>
      <c r="D110" s="45"/>
      <c r="E110" s="46">
        <v>0</v>
      </c>
      <c r="F110" s="45"/>
      <c r="G110" s="46"/>
    </row>
    <row r="111" spans="2:7" x14ac:dyDescent="0.35">
      <c r="B111" s="26" t="s">
        <v>19</v>
      </c>
      <c r="D111" s="42">
        <v>99.999999999999986</v>
      </c>
      <c r="E111" s="42">
        <v>1631.0568208499999</v>
      </c>
      <c r="F111" s="42">
        <v>99.999999999999986</v>
      </c>
      <c r="G111" s="42">
        <v>1256.1012298500002</v>
      </c>
    </row>
    <row r="112" spans="2:7" ht="5.15" customHeight="1" x14ac:dyDescent="0.35">
      <c r="D112" s="48"/>
      <c r="E112" s="48"/>
      <c r="F112" s="48"/>
      <c r="G112" s="48"/>
    </row>
    <row r="113" spans="2:7" x14ac:dyDescent="0.35">
      <c r="B113" s="26" t="s">
        <v>27</v>
      </c>
      <c r="D113" s="46">
        <v>77.168774627974443</v>
      </c>
      <c r="E113" s="46">
        <v>1258.6665621359416</v>
      </c>
      <c r="F113" s="46">
        <v>47.435453956526899</v>
      </c>
      <c r="G113" s="46">
        <v>595.83732053286496</v>
      </c>
    </row>
    <row r="114" spans="2:7" x14ac:dyDescent="0.35">
      <c r="B114" s="26" t="s">
        <v>28</v>
      </c>
      <c r="D114" s="46">
        <v>22.831225372025546</v>
      </c>
      <c r="E114" s="49">
        <v>372.39025871405852</v>
      </c>
      <c r="F114" s="46">
        <v>52.564546043473101</v>
      </c>
      <c r="G114" s="46">
        <v>660.26390931713524</v>
      </c>
    </row>
    <row r="116" spans="2:7" x14ac:dyDescent="0.35">
      <c r="B116" s="26" t="s">
        <v>34</v>
      </c>
      <c r="D116" s="50">
        <v>78.311487408963458</v>
      </c>
      <c r="E116" s="46">
        <v>4480.5541564427267</v>
      </c>
      <c r="F116" s="50">
        <v>50.058692173360676</v>
      </c>
      <c r="G116" s="46">
        <v>1923.9031171263268</v>
      </c>
    </row>
    <row r="117" spans="2:7" x14ac:dyDescent="0.35">
      <c r="B117" s="26" t="s">
        <v>35</v>
      </c>
      <c r="D117" s="50">
        <v>21.688512591036528</v>
      </c>
      <c r="E117" s="46">
        <v>1240.8978357076433</v>
      </c>
      <c r="F117" s="50">
        <v>49.941307826639331</v>
      </c>
      <c r="G117" s="46">
        <v>1919.3916906236741</v>
      </c>
    </row>
    <row r="119" spans="2:7" x14ac:dyDescent="0.35">
      <c r="B119" s="26" t="s">
        <v>19</v>
      </c>
      <c r="D119" s="51"/>
      <c r="E119" s="42">
        <v>5721.4519921503697</v>
      </c>
      <c r="F119" s="51"/>
      <c r="G119" s="52">
        <v>3843.2948077500009</v>
      </c>
    </row>
  </sheetData>
  <conditionalFormatting sqref="F25 C25:D25">
    <cfRule type="cellIs" dxfId="78" priority="241" operator="equal">
      <formula>100</formula>
    </cfRule>
  </conditionalFormatting>
  <conditionalFormatting sqref="F25 C25:D25">
    <cfRule type="cellIs" dxfId="77" priority="240" operator="greaterThan">
      <formula>100</formula>
    </cfRule>
  </conditionalFormatting>
  <conditionalFormatting sqref="F25 C25:D25">
    <cfRule type="cellIs" dxfId="76" priority="239" operator="lessThan">
      <formula>100</formula>
    </cfRule>
  </conditionalFormatting>
  <conditionalFormatting sqref="E25">
    <cfRule type="cellIs" dxfId="75" priority="236" operator="lessThan">
      <formula>$E$15</formula>
    </cfRule>
    <cfRule type="cellIs" dxfId="74" priority="237" operator="greaterThan">
      <formula>$E$15</formula>
    </cfRule>
    <cfRule type="cellIs" dxfId="73" priority="238" operator="equal">
      <formula>$E$15</formula>
    </cfRule>
  </conditionalFormatting>
  <conditionalFormatting sqref="G25">
    <cfRule type="cellIs" dxfId="72" priority="233" operator="lessThan">
      <formula>$G$15</formula>
    </cfRule>
    <cfRule type="cellIs" dxfId="71" priority="234" operator="greaterThan">
      <formula>$G$15</formula>
    </cfRule>
    <cfRule type="cellIs" dxfId="70" priority="235" operator="equal">
      <formula>$G$15</formula>
    </cfRule>
  </conditionalFormatting>
  <conditionalFormatting sqref="E51">
    <cfRule type="cellIs" dxfId="69" priority="230" operator="lessThan">
      <formula>$E$20</formula>
    </cfRule>
    <cfRule type="cellIs" dxfId="68" priority="231" operator="greaterThan">
      <formula>$E$20</formula>
    </cfRule>
    <cfRule type="cellIs" dxfId="67" priority="232" operator="equal">
      <formula>$E$20</formula>
    </cfRule>
  </conditionalFormatting>
  <conditionalFormatting sqref="F51">
    <cfRule type="cellIs" dxfId="66" priority="229" operator="equal">
      <formula>100</formula>
    </cfRule>
  </conditionalFormatting>
  <conditionalFormatting sqref="F51">
    <cfRule type="cellIs" dxfId="65" priority="228" operator="greaterThan">
      <formula>100</formula>
    </cfRule>
  </conditionalFormatting>
  <conditionalFormatting sqref="F51">
    <cfRule type="cellIs" dxfId="64" priority="227" operator="lessThan">
      <formula>100</formula>
    </cfRule>
  </conditionalFormatting>
  <conditionalFormatting sqref="G51">
    <cfRule type="cellIs" dxfId="63" priority="224" operator="lessThan">
      <formula>$G$20</formula>
    </cfRule>
    <cfRule type="cellIs" dxfId="62" priority="225" operator="greaterThan">
      <formula>$G$20</formula>
    </cfRule>
    <cfRule type="cellIs" dxfId="61" priority="226" operator="equal">
      <formula>$G$20</formula>
    </cfRule>
  </conditionalFormatting>
  <conditionalFormatting sqref="E119">
    <cfRule type="cellIs" dxfId="60" priority="197" operator="lessThan">
      <formula>$E$15</formula>
    </cfRule>
    <cfRule type="cellIs" dxfId="59" priority="198" operator="greaterThan">
      <formula>$E$15</formula>
    </cfRule>
    <cfRule type="cellIs" dxfId="58" priority="223" operator="equal">
      <formula>$E$15</formula>
    </cfRule>
  </conditionalFormatting>
  <conditionalFormatting sqref="D66">
    <cfRule type="cellIs" dxfId="57" priority="222" operator="equal">
      <formula>100</formula>
    </cfRule>
  </conditionalFormatting>
  <conditionalFormatting sqref="D66">
    <cfRule type="cellIs" dxfId="56" priority="221" operator="greaterThan">
      <formula>100</formula>
    </cfRule>
  </conditionalFormatting>
  <conditionalFormatting sqref="D66">
    <cfRule type="cellIs" dxfId="55" priority="220" operator="lessThan">
      <formula>100</formula>
    </cfRule>
  </conditionalFormatting>
  <conditionalFormatting sqref="F66">
    <cfRule type="cellIs" dxfId="54" priority="219" operator="equal">
      <formula>100</formula>
    </cfRule>
  </conditionalFormatting>
  <conditionalFormatting sqref="F66">
    <cfRule type="cellIs" dxfId="53" priority="218" operator="greaterThan">
      <formula>100</formula>
    </cfRule>
  </conditionalFormatting>
  <conditionalFormatting sqref="F66">
    <cfRule type="cellIs" dxfId="52" priority="217" operator="lessThan">
      <formula>100</formula>
    </cfRule>
  </conditionalFormatting>
  <conditionalFormatting sqref="E66">
    <cfRule type="cellIs" dxfId="51" priority="214" operator="lessThan">
      <formula>$E$21</formula>
    </cfRule>
    <cfRule type="cellIs" dxfId="50" priority="215" operator="greaterThan">
      <formula>$E$21</formula>
    </cfRule>
    <cfRule type="cellIs" dxfId="49" priority="216" operator="equal">
      <formula>$E$21</formula>
    </cfRule>
  </conditionalFormatting>
  <conditionalFormatting sqref="G66">
    <cfRule type="cellIs" dxfId="48" priority="211" operator="lessThan">
      <formula>$G$21</formula>
    </cfRule>
    <cfRule type="cellIs" dxfId="47" priority="212" operator="greaterThan">
      <formula>$G$21</formula>
    </cfRule>
    <cfRule type="cellIs" dxfId="46" priority="213" operator="equal">
      <formula>$G$21</formula>
    </cfRule>
  </conditionalFormatting>
  <conditionalFormatting sqref="D81">
    <cfRule type="cellIs" dxfId="45" priority="210" operator="equal">
      <formula>100</formula>
    </cfRule>
  </conditionalFormatting>
  <conditionalFormatting sqref="D81">
    <cfRule type="cellIs" dxfId="44" priority="209" operator="greaterThan">
      <formula>100</formula>
    </cfRule>
  </conditionalFormatting>
  <conditionalFormatting sqref="D81">
    <cfRule type="cellIs" dxfId="43" priority="208" operator="lessThan">
      <formula>100</formula>
    </cfRule>
  </conditionalFormatting>
  <conditionalFormatting sqref="F81">
    <cfRule type="cellIs" dxfId="42" priority="207" operator="equal">
      <formula>100</formula>
    </cfRule>
  </conditionalFormatting>
  <conditionalFormatting sqref="F81">
    <cfRule type="cellIs" dxfId="41" priority="206" operator="greaterThan">
      <formula>100</formula>
    </cfRule>
  </conditionalFormatting>
  <conditionalFormatting sqref="F81">
    <cfRule type="cellIs" dxfId="40" priority="205" operator="lessThan">
      <formula>100</formula>
    </cfRule>
  </conditionalFormatting>
  <conditionalFormatting sqref="E81">
    <cfRule type="cellIs" dxfId="39" priority="202" operator="lessThan">
      <formula>$E$22</formula>
    </cfRule>
    <cfRule type="cellIs" dxfId="38" priority="203" operator="greaterThan">
      <formula>$E$22</formula>
    </cfRule>
    <cfRule type="cellIs" dxfId="37" priority="204" operator="equal">
      <formula>$E$22</formula>
    </cfRule>
  </conditionalFormatting>
  <conditionalFormatting sqref="G81">
    <cfRule type="cellIs" dxfId="36" priority="199" operator="lessThan">
      <formula>$G$22</formula>
    </cfRule>
    <cfRule type="cellIs" dxfId="35" priority="200" operator="greaterThan">
      <formula>$G$22</formula>
    </cfRule>
    <cfRule type="cellIs" dxfId="34" priority="201" operator="equal">
      <formula>$G$22</formula>
    </cfRule>
  </conditionalFormatting>
  <conditionalFormatting sqref="G119">
    <cfRule type="cellIs" dxfId="33" priority="194" operator="lessThan">
      <formula>$G$25</formula>
    </cfRule>
    <cfRule type="cellIs" dxfId="32" priority="195" operator="greaterThan">
      <formula>$G$25</formula>
    </cfRule>
    <cfRule type="cellIs" dxfId="31" priority="196" operator="equal">
      <formula>$G$25</formula>
    </cfRule>
  </conditionalFormatting>
  <conditionalFormatting sqref="D96">
    <cfRule type="cellIs" dxfId="30" priority="193" operator="equal">
      <formula>100</formula>
    </cfRule>
  </conditionalFormatting>
  <conditionalFormatting sqref="D96">
    <cfRule type="cellIs" dxfId="29" priority="192" operator="greaterThan">
      <formula>100</formula>
    </cfRule>
  </conditionalFormatting>
  <conditionalFormatting sqref="D96">
    <cfRule type="cellIs" dxfId="28" priority="191" operator="lessThan">
      <formula>100</formula>
    </cfRule>
  </conditionalFormatting>
  <conditionalFormatting sqref="F96">
    <cfRule type="cellIs" dxfId="27" priority="190" operator="equal">
      <formula>100</formula>
    </cfRule>
  </conditionalFormatting>
  <conditionalFormatting sqref="F96">
    <cfRule type="cellIs" dxfId="26" priority="189" operator="greaterThan">
      <formula>100</formula>
    </cfRule>
  </conditionalFormatting>
  <conditionalFormatting sqref="F96">
    <cfRule type="cellIs" dxfId="25" priority="188" operator="lessThan">
      <formula>100</formula>
    </cfRule>
  </conditionalFormatting>
  <conditionalFormatting sqref="D111">
    <cfRule type="cellIs" dxfId="24" priority="187" operator="equal">
      <formula>100</formula>
    </cfRule>
  </conditionalFormatting>
  <conditionalFormatting sqref="D111">
    <cfRule type="cellIs" dxfId="23" priority="186" operator="greaterThan">
      <formula>100</formula>
    </cfRule>
  </conditionalFormatting>
  <conditionalFormatting sqref="D111">
    <cfRule type="cellIs" dxfId="22" priority="185" operator="lessThan">
      <formula>100</formula>
    </cfRule>
  </conditionalFormatting>
  <conditionalFormatting sqref="F111">
    <cfRule type="cellIs" dxfId="21" priority="184" operator="equal">
      <formula>100</formula>
    </cfRule>
  </conditionalFormatting>
  <conditionalFormatting sqref="F111">
    <cfRule type="cellIs" dxfId="20" priority="183" operator="greaterThan">
      <formula>100</formula>
    </cfRule>
  </conditionalFormatting>
  <conditionalFormatting sqref="F111">
    <cfRule type="cellIs" dxfId="19" priority="182" operator="lessThan">
      <formula>100</formula>
    </cfRule>
  </conditionalFormatting>
  <conditionalFormatting sqref="E96">
    <cfRule type="cellIs" dxfId="18" priority="181" operator="equal">
      <formula>$E$23</formula>
    </cfRule>
  </conditionalFormatting>
  <conditionalFormatting sqref="E111">
    <cfRule type="cellIs" dxfId="17" priority="180" operator="equal">
      <formula>$E$24</formula>
    </cfRule>
  </conditionalFormatting>
  <conditionalFormatting sqref="G96">
    <cfRule type="cellIs" dxfId="16" priority="179" operator="equal">
      <formula>$G$23</formula>
    </cfRule>
  </conditionalFormatting>
  <conditionalFormatting sqref="G111">
    <cfRule type="cellIs" dxfId="15" priority="178" operator="equal">
      <formula>$G$24</formula>
    </cfRule>
  </conditionalFormatting>
  <conditionalFormatting sqref="G36">
    <cfRule type="cellIs" dxfId="14" priority="166" operator="lessThan">
      <formula>$G$19</formula>
    </cfRule>
    <cfRule type="cellIs" dxfId="13" priority="167" operator="greaterThan">
      <formula>$G$19</formula>
    </cfRule>
    <cfRule type="cellIs" dxfId="12" priority="168" operator="equal">
      <formula>$G$19</formula>
    </cfRule>
  </conditionalFormatting>
  <conditionalFormatting sqref="D36">
    <cfRule type="cellIs" dxfId="11" priority="177" operator="equal">
      <formula>100</formula>
    </cfRule>
  </conditionalFormatting>
  <conditionalFormatting sqref="D36">
    <cfRule type="cellIs" dxfId="10" priority="176" operator="greaterThan">
      <formula>100</formula>
    </cfRule>
  </conditionalFormatting>
  <conditionalFormatting sqref="D36">
    <cfRule type="cellIs" dxfId="9" priority="175" operator="lessThan">
      <formula>100</formula>
    </cfRule>
  </conditionalFormatting>
  <conditionalFormatting sqref="E36">
    <cfRule type="cellIs" dxfId="8" priority="172" operator="lessThan">
      <formula>$E$19</formula>
    </cfRule>
    <cfRule type="cellIs" dxfId="7" priority="173" operator="greaterThan">
      <formula>$E$19</formula>
    </cfRule>
    <cfRule type="cellIs" dxfId="6" priority="174" operator="equal">
      <formula>$E$19</formula>
    </cfRule>
  </conditionalFormatting>
  <conditionalFormatting sqref="F36">
    <cfRule type="cellIs" dxfId="5" priority="171" operator="equal">
      <formula>100</formula>
    </cfRule>
  </conditionalFormatting>
  <conditionalFormatting sqref="F36">
    <cfRule type="cellIs" dxfId="4" priority="170" operator="greaterThan">
      <formula>100</formula>
    </cfRule>
  </conditionalFormatting>
  <conditionalFormatting sqref="F36">
    <cfRule type="cellIs" dxfId="3" priority="169" operator="lessThan">
      <formula>100</formula>
    </cfRule>
  </conditionalFormatting>
  <conditionalFormatting sqref="D51">
    <cfRule type="cellIs" dxfId="2" priority="117" operator="equal">
      <formula>100</formula>
    </cfRule>
  </conditionalFormatting>
  <conditionalFormatting sqref="D51">
    <cfRule type="cellIs" dxfId="1" priority="116" operator="greaterThan">
      <formula>100</formula>
    </cfRule>
  </conditionalFormatting>
  <conditionalFormatting sqref="D51">
    <cfRule type="cellIs" dxfId="0" priority="115" operator="lessThan">
      <formula>100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Лялинов Дмитрий Васильевич</dc:creator>
  <cp:lastModifiedBy>Каримов Андрей Сергеевич</cp:lastModifiedBy>
  <dcterms:created xsi:type="dcterms:W3CDTF">2025-09-12T08:41:17Z</dcterms:created>
  <dcterms:modified xsi:type="dcterms:W3CDTF">2026-06-24T06:34:37Z</dcterms:modified>
</cp:coreProperties>
</file>